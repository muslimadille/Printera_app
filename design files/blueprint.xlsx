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96ef041aa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35acdb6a597453a"/>
    <x:sheet xmlns:r="http://schemas.openxmlformats.org/officeDocument/2006/relationships" name="Outer_Cut_Contour_Segments" sheetId="2" r:id="R5ad76b12c9074e9f"/>
    <x:sheet xmlns:r="http://schemas.openxmlformats.org/officeDocument/2006/relationships" name="Attached_Cut_Lines" sheetId="3" r:id="R43af8357d6be4a66"/>
    <x:sheet xmlns:r="http://schemas.openxmlformats.org/officeDocument/2006/relationships" name="Crease_Lines" sheetId="4" r:id="Re7b8ca16694545ee"/>
    <x:sheet xmlns:r="http://schemas.openxmlformats.org/officeDocument/2006/relationships" name="Anchors" sheetId="5" r:id="Ra85cc4a6829a48a1"/>
    <x:sheet xmlns:r="http://schemas.openxmlformats.org/officeDocument/2006/relationships" name="Smart_Nesting_Gap_Model" sheetId="6" r:id="Rd8b0a0a30316403a"/>
    <x:sheet xmlns:r="http://schemas.openxmlformats.org/officeDocument/2006/relationships" name="Collision_Check" sheetId="7" r:id="R6147f2d8a3944bf4"/>
    <x:sheet xmlns:r="http://schemas.openxmlformats.org/officeDocument/2006/relationships" name="Notes_Validation_Rules" sheetId="8" r:id="R754e6d9a8fea4a3b"/>
    <x:sheet xmlns:r="http://schemas.openxmlformats.org/officeDocument/2006/relationships" name="SVG_Source_Map" sheetId="9" r:id="Re9daab55b0884b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1D4ED8"/>
      </x:patternFill>
    </x:fill>
    <x:fill>
      <x:patternFill patternType="solid">
        <x:fgColor rgb="FF1E40AF"/>
      </x:patternFill>
    </x:fill>
    <x:fill>
      <x:patternFill patternType="solid">
        <x:fgColor rgb="FFEFF6FF"/>
      </x:patternFill>
    </x:fill>
    <x:fill>
      <x:patternFill patternType="solid">
        <x:fgColor rgb="FF7C2D12"/>
      </x:patternFill>
    </x:fill>
    <x:fill>
      <x:patternFill patternType="solid">
        <x:fgColor rgb="FF9A3412"/>
      </x:patternFill>
    </x:fill>
    <x:fill>
      <x:patternFill patternType="solid">
        <x:fgColor rgb="FFFFF7ED"/>
      </x:patternFill>
    </x:fill>
    <x:fill>
      <x:patternFill patternType="solid">
        <x:fgColor rgb="FFF0FDFA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horizontal="center" vertical="top"/>
    </x:xf>
    <x:xf numFmtId="0" fontId="3" fillId="11" borderId="0" xfId="0" applyNumberFormat="1" applyFont="1" applyFill="1" applyBorder="1" applyAlignment="1">
      <x:alignment vertical="top"/>
    </x:xf>
    <x:xf numFmtId="0" fontId="3" fillId="11" borderId="0" xfId="0" applyNumberFormat="1" applyFont="1" applyFill="1" applyBorder="1" applyAlignment="1">
      <x:alignment horizontal="center" vertical="top"/>
    </x:xf>
    <x:xf numFmtId="0" fontId="2" fillId="0" borderId="0" xfId="0" applyNumberFormat="1" applyFont="1" applyFill="1" applyBorder="1" applyAlignment="1">
      <x:alignment vertical="top"/>
    </x:xf>
    <x:xf numFmtId="0" fontId="0" fillId="1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10" borderId="0" xfId="0" applyNumberFormat="1" applyFont="1" applyFill="1" applyBorder="1" applyAlignment="1">
      <x:alignment horizontal="center" vertical="top" wrapText="1"/>
    </x:xf>
    <x:xf numFmtId="0" fontId="3" fillId="11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horizontal="center" vertical="top"/>
    </x:xf>
    <x:xf numFmtId="0" fontId="3" fillId="14" borderId="0" xfId="0" applyNumberFormat="1" applyFont="1" applyFill="1" applyBorder="1" applyAlignment="1">
      <x:alignment vertical="top"/>
    </x:xf>
    <x:xf numFmtId="0" fontId="3" fillId="14" borderId="0" xfId="0" applyNumberFormat="1" applyFont="1" applyFill="1" applyBorder="1" applyAlignment="1">
      <x:alignment horizontal="center" vertical="top"/>
    </x:xf>
    <x:xf numFmtId="0" fontId="0" fillId="15" borderId="0" xfId="0" applyNumberFormat="1" applyFont="1" applyFill="1" applyBorder="1" applyAlignment="1">
      <x:alignment vertical="top"/>
    </x:xf>
    <x:xf numFmtId="0" fontId="3" fillId="13" borderId="0" xfId="0" applyNumberFormat="1" applyFont="1" applyFill="1" applyBorder="1" applyAlignment="1">
      <x:alignment horizontal="center"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2" fillId="16" borderId="0" xfId="0" applyNumberFormat="1" applyFont="1" applyFill="1" applyBorder="1" applyAlignment="1">
      <x:alignment vertical="top"/>
    </x:xf>
    <x:xf numFmtId="0" fontId="0" fillId="16" borderId="0" xfId="0" applyNumberFormat="1" applyFont="1" applyFill="1" applyBorder="1" applyAlignment="1">
      <x:alignment vertical="top"/>
    </x:xf>
    <x:xf numFmtId="0" fontId="2" fillId="16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bc3ac88414070" /><Relationship Type="http://schemas.openxmlformats.org/officeDocument/2006/relationships/theme" Target="/xl/theme/theme1.xml" Id="R9f2f8cfb75ad4530" /><Relationship Type="http://schemas.openxmlformats.org/officeDocument/2006/relationships/sharedStrings" Target="/xl/sharedStrings.xml" Id="Rfde5724179d54c69" /><Relationship Type="http://schemas.openxmlformats.org/officeDocument/2006/relationships/worksheet" Target="/xl/worksheets/sheet1.xml" Id="R635acdb6a597453a" /><Relationship Type="http://schemas.openxmlformats.org/officeDocument/2006/relationships/worksheet" Target="/xl/worksheets/sheet2.xml" Id="R5ad76b12c9074e9f" /><Relationship Type="http://schemas.openxmlformats.org/officeDocument/2006/relationships/worksheet" Target="/xl/worksheets/sheet3.xml" Id="R43af8357d6be4a66" /><Relationship Type="http://schemas.openxmlformats.org/officeDocument/2006/relationships/worksheet" Target="/xl/worksheets/sheet4.xml" Id="Re7b8ca16694545ee" /><Relationship Type="http://schemas.openxmlformats.org/officeDocument/2006/relationships/worksheet" Target="/xl/worksheets/sheet5.xml" Id="Ra85cc4a6829a48a1" /><Relationship Type="http://schemas.openxmlformats.org/officeDocument/2006/relationships/worksheet" Target="/xl/worksheets/sheet6.xml" Id="Rd8b0a0a30316403a" /><Relationship Type="http://schemas.openxmlformats.org/officeDocument/2006/relationships/worksheet" Target="/xl/worksheets/sheet7.xml" Id="R6147f2d8a3944bf4" /><Relationship Type="http://schemas.openxmlformats.org/officeDocument/2006/relationships/worksheet" Target="/xl/worksheets/sheet8.xml" Id="R754e6d9a8fea4a3b" /><Relationship Type="http://schemas.openxmlformats.org/officeDocument/2006/relationships/worksheet" Target="/xl/worksheets/sheet9.xml" Id="Re9daab55b0884b04" /></Relationships>
</file>

<file path=xl/tables/table1.xml><?xml version="1.0" encoding="utf-8"?>
<x:table xmlns:x="http://schemas.openxmlformats.org/spreadsheetml/2006/main" id="1" name="OuterSegmentsTable" displayName="OuterSegmentsTable" ref="A3:T50" headerRowCount="1">
  <x:tableColumns count="20">
    <x:tableColumn id="1" name="Segment"/>
    <x:tableColumn id="2" name="SVG ID"/>
    <x:tableColumn id="3" name="Arabic Name"/>
    <x:tableColumn id="4" name="Zone / Function"/>
    <x:tableColumn id="5" name="Type"/>
    <x:tableColumn id="6" name="Start Anchor"/>
    <x:tableColumn id="7" name="End / Link Anchor"/>
    <x:tableColumn id="8" name="Direction"/>
    <x:tableColumn id="9" name="Extension Direction"/>
    <x:tableColumn id="10" name="Rule"/>
    <x:tableColumn id="11" name="Calc mm"/>
    <x:tableColumn id="12" name="Fixed / Variable"/>
    <x:tableColumn id="13" name="Depends On"/>
    <x:tableColumn id="14" name="Mirror Of"/>
    <x:tableColumn id="15" name="SVG Direction"/>
    <x:tableColumn id="16" name="x1"/>
    <x:tableColumn id="17" name="y1"/>
    <x:tableColumn id="18" name="x2"/>
    <x:tableColumn id="19" name="y2"/>
    <x:tableColumn id="2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ttachedCutLinesTable" displayName="AttachedCutLinesTable" ref="A3:Q11" headerRowCount="1">
  <x:tableColumns count="17">
    <x:tableColumn id="1" name="Segment"/>
    <x:tableColumn id="2" name="SVG ID"/>
    <x:tableColumn id="3" name="Arabic Name"/>
    <x:tableColumn id="4" name="Type"/>
    <x:tableColumn id="5" name="Start Anchor"/>
    <x:tableColumn id="6" name="Direction"/>
    <x:tableColumn id="7" name="Extension Direction"/>
    <x:tableColumn id="8" name="Rule"/>
    <x:tableColumn id="9" name="Calc mm"/>
    <x:tableColumn id="10" name="Fixed / Variable"/>
    <x:tableColumn id="11" name="Depends On"/>
    <x:tableColumn id="12" name="SVG Direction"/>
    <x:tableColumn id="13" name="x1"/>
    <x:tableColumn id="14" name="y1"/>
    <x:tableColumn id="15" name="x2"/>
    <x:tableColumn id="16" name="y2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reaseLinesTable" displayName="CreaseLinesTable" ref="A3:S15" headerRowCount="1">
  <x:tableColumns count="19">
    <x:tableColumn id="1" name="Segment"/>
    <x:tableColumn id="2" name="SVG ID"/>
    <x:tableColumn id="3" name="Arabic Name"/>
    <x:tableColumn id="4" name="Type"/>
    <x:tableColumn id="5" name="Start Anchor / Position"/>
    <x:tableColumn id="6" name="End Anchor"/>
    <x:tableColumn id="7" name="Direction"/>
    <x:tableColumn id="8" name="Extension Direction"/>
    <x:tableColumn id="9" name="Rule"/>
    <x:tableColumn id="10" name="Calc mm"/>
    <x:tableColumn id="11" name="Offset"/>
    <x:tableColumn id="12" name="Fixed / Variable"/>
    <x:tableColumn id="13" name="Depends On"/>
    <x:tableColumn id="14" name="SVG Direction"/>
    <x:tableColumn id="15" name="x1"/>
    <x:tableColumn id="16" name="y1"/>
    <x:tableColumn id="17" name="x2"/>
    <x:tableColumn id="18" name="y2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nchorsTable" displayName="AnchorsTable" ref="A3:D13" headerRowCount="1">
  <x:tableColumns count="4">
    <x:tableColumn id="1" name="Anchor / Region"/>
    <x:tableColumn id="2" name="Definition"/>
    <x:tableColumn id="3" name="Driven By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NestingModelTable" displayName="NestingModelTable" ref="A3:D11" headerRowCount="1">
  <x:tableColumns count="4">
    <x:tableColumn id="1" name="Metric"/>
    <x:tableColumn id="2" name="Formula / Value"/>
    <x:tableColumn id="3" name="Unit"/>
    <x:tableColumn id="4" name="Rule / Note"/>
  </x:tableColumns>
  <x:tableStyleInfo name="TableStyleMedium2" showRowStripes="1"/>
</x:table>
</file>

<file path=xl/tables/table6.xml><?xml version="1.0" encoding="utf-8"?>
<x:table xmlns:x="http://schemas.openxmlformats.org/spreadsheetml/2006/main" id="6" name="CollisionRulesTable" displayName="CollisionRulesTable" ref="A3:C11" headerRowCount="1">
  <x:tableColumns count="3">
    <x:tableColumn id="1" name="Check"/>
    <x:tableColumn id="2" name="Status / Formula"/>
    <x:tableColumn id="3" name="Reason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RulesTable" displayName="ValidationRulesTable" ref="A3:B14" headerRowCount="1">
  <x:tableColumns count="2">
    <x:tableColumn id="1" name="Rule"/>
    <x:tableColumn id="2" name="Details"/>
  </x:tableColumns>
  <x:tableStyleInfo name="TableStyleMedium2" showRowStripes="1"/>
</x:table>
</file>

<file path=xl/tables/table8.xml><?xml version="1.0" encoding="utf-8"?>
<x:table xmlns:x="http://schemas.openxmlformats.org/spreadsheetml/2006/main" id="8" name="SvgSourceMapTable" displayName="SvgSourceMapTable" ref="A3:J66" headerRowCount="1">
  <x:tableColumns count="10">
    <x:tableColumn id="1" name="ID"/>
    <x:tableColumn id="2" name="Kind"/>
    <x:tableColumn id="3" name="SVG Direction"/>
    <x:tableColumn id="4" name="x1"/>
    <x:tableColumn id="5" name="y1"/>
    <x:tableColumn id="6" name="x2"/>
    <x:tableColumn id="7" name="y2"/>
    <x:tableColumn id="8" name="dx"/>
    <x:tableColumn id="9" name="dy"/>
    <x:tableColumn id="10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a3d4f24cd94e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f9d01afe5b4f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5f714142ad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8ca2e1592a45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38e189d3cf4e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768a4ba8c04e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a73e1311fa4b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e8ec886ad64b8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5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2" t="str">
        <x:v>Interactive Dynamic Geometry Blueprint — Inputs</x:v>
      </x:c>
      <x:c r="B1" s="33"/>
      <x:c r="C1" s="33"/>
      <x:c r="D1" s="33"/>
      <x:c r="E1" s="33"/>
      <x:c r="F1" s="33"/>
      <x:c r="G1" s="33"/>
      <x:c r="H1" s="33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34" t="str">
        <x:v>الأبعاد والتباعد</x:v>
      </x:c>
      <x:c r="B3" s="33"/>
      <x:c r="C3" s="33"/>
      <x:c r="D3" s="33"/>
      <x:c r="E3" s="33"/>
      <x:c r="F3" s="33"/>
      <x:c r="G3" s="33"/>
      <x:c r="H3" s="33"/>
    </x:row>
    <x:row r="4" ht="30" customHeight="1">
      <x:c r="A4" s="20" t="str">
        <x:v>Parameter</x:v>
      </x:c>
      <x:c r="B4" s="20" t="str">
        <x:v>Value</x:v>
      </x:c>
      <x:c r="C4" s="20" t="str">
        <x:v>Unit</x:v>
      </x:c>
      <x:c r="D4" s="20" t="str">
        <x:v>Description</x:v>
      </x:c>
      <x:c r="E4" s="33"/>
      <x:c r="F4" s="33"/>
      <x:c r="G4" s="33"/>
      <x:c r="H4" s="33"/>
    </x:row>
    <x:row r="5">
      <x:c r="A5" s="33" t="str">
        <x:v>Width</x:v>
      </x:c>
      <x:c r="B5" s="35" t="n">
        <x:v>200</x:v>
      </x:c>
      <x:c r="C5" s="33" t="str">
        <x:v>mm</x:v>
      </x:c>
      <x:c r="D5" s="33" t="str">
        <x:v>عرض العلبة بعد الإغلاق = طول الواجهة</x:v>
      </x:c>
      <x:c r="E5" s="33"/>
      <x:c r="F5" s="33"/>
      <x:c r="G5" s="33"/>
      <x:c r="H5" s="33"/>
    </x:row>
    <x:row r="6">
      <x:c r="A6" s="33" t="str">
        <x:v>Height</x:v>
      </x:c>
      <x:c r="B6" s="35" t="n">
        <x:v>200</x:v>
      </x:c>
      <x:c r="C6" s="33" t="str">
        <x:v>mm</x:v>
      </x:c>
      <x:c r="D6" s="33" t="str">
        <x:v>ارتفاع العلبة بعد الإغلاق = ارتفاع الواجهة</x:v>
      </x:c>
      <x:c r="E6" s="33"/>
      <x:c r="F6" s="33"/>
      <x:c r="G6" s="33"/>
      <x:c r="H6" s="33"/>
    </x:row>
    <x:row r="7">
      <x:c r="A7" s="33" t="str">
        <x:v>Depth</x:v>
      </x:c>
      <x:c r="B7" s="35" t="n">
        <x:v>50</x:v>
      </x:c>
      <x:c r="C7" s="33" t="str">
        <x:v>mm</x:v>
      </x:c>
      <x:c r="D7" s="33" t="str">
        <x:v>عمق العلبة بعد الإغلاق = طول العمق</x:v>
      </x:c>
      <x:c r="E7" s="33"/>
      <x:c r="F7" s="33"/>
      <x:c r="G7" s="33"/>
      <x:c r="H7" s="33"/>
    </x:row>
    <x:row r="8">
      <x:c r="A8" s="33" t="str">
        <x:v>Vertical_Gap</x:v>
      </x:c>
      <x:c r="B8" s="35" t="n">
        <x:v>5</x:v>
      </x:c>
      <x:c r="C8" s="33" t="str">
        <x:v>mm</x:v>
      </x:c>
      <x:c r="D8" s="33" t="str">
        <x:v>التباعد الرأسي للتعشيق الذكي</x:v>
      </x:c>
      <x:c r="E8" s="33"/>
      <x:c r="F8" s="33"/>
      <x:c r="G8" s="33"/>
      <x:c r="H8" s="33"/>
    </x:row>
    <x:row r="9">
      <x:c r="A9" s="33" t="str">
        <x:v>Horizontal_Gap</x:v>
      </x:c>
      <x:c r="B9" s="35" t="n">
        <x:v>5</x:v>
      </x:c>
      <x:c r="C9" s="33" t="str">
        <x:v>mm</x:v>
      </x:c>
      <x:c r="D9" s="33" t="str">
        <x:v>التباعد الأفقي للتعشيق الذكي</x:v>
      </x:c>
      <x:c r="E9" s="33"/>
      <x:c r="F9" s="33"/>
      <x:c r="G9" s="33"/>
      <x:c r="H9" s="33"/>
    </x:row>
    <x:row r="10">
      <x:c r="A10" s="33"/>
      <x:c r="B10" s="35"/>
      <x:c r="C10" s="33"/>
      <x:c r="D10" s="33"/>
      <x:c r="E10" s="33"/>
      <x:c r="F10" s="33"/>
      <x:c r="G10" s="33"/>
      <x:c r="H10" s="33"/>
    </x:row>
    <x:row r="11">
      <x:c r="A11" s="34" t="str">
        <x:v>الألسنة</x:v>
      </x:c>
      <x:c r="B11" s="35"/>
      <x:c r="C11" s="33"/>
      <x:c r="D11" s="33"/>
      <x:c r="E11" s="33"/>
      <x:c r="F11" s="33"/>
      <x:c r="G11" s="33"/>
      <x:c r="H11" s="33"/>
    </x:row>
    <x:row r="12" ht="30" customHeight="1">
      <x:c r="A12" s="20" t="str">
        <x:v>Parameter</x:v>
      </x:c>
      <x:c r="B12" s="27" t="str">
        <x:v>Value</x:v>
      </x:c>
      <x:c r="C12" s="20" t="str">
        <x:v>Unit</x:v>
      </x:c>
      <x:c r="D12" s="20" t="str">
        <x:v>Description</x:v>
      </x:c>
      <x:c r="E12" s="33"/>
      <x:c r="F12" s="33"/>
      <x:c r="G12" s="33"/>
      <x:c r="H12" s="33"/>
    </x:row>
    <x:row r="13">
      <x:c r="A13" s="33" t="str">
        <x:v>Lid_Tongue_Height</x:v>
      </x:c>
      <x:c r="B13" s="35" t="n">
        <x:v>14.25</x:v>
      </x:c>
      <x:c r="C13" s="33" t="str">
        <x:v>mm</x:v>
      </x:c>
      <x:c r="D13" s="33" t="str">
        <x:v>ارتفاع منحنى لسان الغطاء العلوي/السفلي</x:v>
      </x:c>
      <x:c r="E13" s="33"/>
      <x:c r="F13" s="33"/>
      <x:c r="G13" s="33"/>
      <x:c r="H13" s="33"/>
    </x:row>
    <x:row r="14">
      <x:c r="A14" s="33" t="str">
        <x:v>Depth_Tongue_Base</x:v>
      </x:c>
      <x:c r="B14" s="35" t="n">
        <x:v>5</x:v>
      </x:c>
      <x:c r="C14" s="33" t="str">
        <x:v>mm</x:v>
      </x:c>
      <x:c r="D14" s="33" t="str">
        <x:v>قيمة مرجعية لألسنة العمق الثابتة</x:v>
      </x:c>
      <x:c r="E14" s="33"/>
      <x:c r="F14" s="33"/>
      <x:c r="G14" s="33"/>
      <x:c r="H14" s="33"/>
    </x:row>
    <x:row r="15">
      <x:c r="A15" s="33" t="str">
        <x:v>Glue_Flap_Width</x:v>
      </x:c>
      <x:c r="B15" s="35" t="n">
        <x:v>15</x:v>
      </x:c>
      <x:c r="C15" s="33" t="str">
        <x:v>mm</x:v>
      </x:c>
      <x:c r="D15" s="33" t="str">
        <x:v>عرض لسان اللصق</x:v>
      </x:c>
      <x:c r="E15" s="33"/>
      <x:c r="F15" s="33"/>
      <x:c r="G15" s="33"/>
      <x:c r="H15" s="33"/>
    </x:row>
    <x:row r="16">
      <x:c r="A16" s="33"/>
      <x:c r="B16" s="33"/>
      <x:c r="C16" s="33"/>
      <x:c r="D16" s="33"/>
      <x:c r="E16" s="33"/>
      <x:c r="F16" s="33"/>
      <x:c r="G16" s="33"/>
      <x:c r="H16" s="33"/>
    </x:row>
    <x:row r="17">
      <x:c r="A17" s="34" t="str">
        <x:v>القواعد الثابتة المشتقة</x:v>
      </x:c>
      <x:c r="B17" s="33"/>
      <x:c r="C17" s="33"/>
      <x:c r="D17" s="33"/>
      <x:c r="E17" s="33"/>
      <x:c r="F17" s="33"/>
      <x:c r="G17" s="33"/>
      <x:c r="H17" s="33"/>
    </x:row>
    <x:row r="18" ht="30" customHeight="1">
      <x:c r="A18" s="20" t="str">
        <x:v>Derived Parameter</x:v>
      </x:c>
      <x:c r="B18" s="20" t="str">
        <x:v>Formula / Value</x:v>
      </x:c>
      <x:c r="C18" s="20" t="str">
        <x:v>Unit</x:v>
      </x:c>
      <x:c r="D18" s="20" t="str">
        <x:v>Rule</x:v>
      </x:c>
      <x:c r="E18" s="33"/>
      <x:c r="F18" s="33"/>
      <x:c r="G18" s="33"/>
      <x:c r="H18" s="33"/>
    </x:row>
    <x:row r="19">
      <x:c r="A19" s="33" t="str">
        <x:v>Face_Height</x:v>
      </x:c>
      <x:c r="B19" s="36" t="n">
        <x:f>B6+0.5</x:f>
        <x:v>200.5</x:v>
      </x:c>
      <x:c r="C19" s="33" t="str">
        <x:v>mm</x:v>
      </x:c>
      <x:c r="D19" s="33" t="str">
        <x:v>Height + 0.5mm — ثابت وليس نسبة</x:v>
      </x:c>
      <x:c r="E19" s="33"/>
      <x:c r="F19" s="33"/>
      <x:c r="G19" s="33"/>
      <x:c r="H19" s="33"/>
    </x:row>
    <x:row r="20">
      <x:c r="A20" s="33" t="str">
        <x:v>Depth_1</x:v>
      </x:c>
      <x:c r="B20" s="36" t="n">
        <x:f>B7</x:f>
        <x:v>50</x:v>
      </x:c>
      <x:c r="C20" s="33" t="str">
        <x:v>mm</x:v>
      </x:c>
      <x:c r="D20" s="33" t="str">
        <x:v>Depth</x:v>
      </x:c>
      <x:c r="E20" s="33"/>
      <x:c r="F20" s="33"/>
      <x:c r="G20" s="33"/>
      <x:c r="H20" s="33"/>
    </x:row>
    <x:row r="21">
      <x:c r="A21" s="33" t="str">
        <x:v>Depth_2</x:v>
      </x:c>
      <x:c r="B21" s="36" t="n">
        <x:f>B7-0.5</x:f>
        <x:v>49.5</x:v>
      </x:c>
      <x:c r="C21" s="33" t="str">
        <x:v>mm</x:v>
      </x:c>
      <x:c r="D21" s="33" t="str">
        <x:v>Depth - 0.5mm — ثابت وليس نسبة</x:v>
      </x:c>
      <x:c r="E21" s="33"/>
      <x:c r="F21" s="33"/>
      <x:c r="G21" s="33"/>
      <x:c r="H21" s="33"/>
    </x:row>
    <x:row r="22">
      <x:c r="A22" s="33" t="str">
        <x:v>Cover_Vertical_Height</x:v>
      </x:c>
      <x:c r="B22" s="36" t="n">
        <x:f>B7-0.25</x:f>
        <x:v>49.75</x:v>
      </x:c>
      <x:c r="C22" s="33" t="str">
        <x:v>mm</x:v>
      </x:c>
      <x:c r="D22" s="33" t="str">
        <x:v>Depth - 0.25mm — Segment 10 / 16 / 39 / 45</x:v>
      </x:c>
      <x:c r="E22" s="33"/>
      <x:c r="F22" s="33"/>
      <x:c r="G22" s="33"/>
      <x:c r="H22" s="33"/>
    </x:row>
    <x:row r="23">
      <x:c r="A23" s="33" t="str">
        <x:v>Segment_4_Height</x:v>
      </x:c>
      <x:c r="B23" s="36" t="n">
        <x:f>IF(B5&lt;=25,3,5)</x:f>
        <x:v>5</x:v>
      </x:c>
      <x:c r="C23" s="33" t="str">
        <x:v>mm</x:v>
      </x:c>
      <x:c r="D23" s="33" t="str">
        <x:v>IF(Width&lt;=25,3,5)</x:v>
      </x:c>
      <x:c r="E23" s="33"/>
      <x:c r="F23" s="33"/>
      <x:c r="G23" s="33"/>
      <x:c r="H23" s="33"/>
    </x:row>
    <x:row r="24">
      <x:c r="A24" s="33" t="str">
        <x:v>Segment_5_Height</x:v>
      </x:c>
      <x:c r="B24" s="36" t="n">
        <x:v>2</x:v>
      </x:c>
      <x:c r="C24" s="33" t="str">
        <x:v>mm</x:v>
      </x:c>
      <x:c r="D24" s="33" t="str">
        <x:v>ثابت</x:v>
      </x:c>
      <x:c r="E24" s="33"/>
      <x:c r="F24" s="33"/>
      <x:c r="G24" s="33"/>
      <x:c r="H24" s="33"/>
    </x:row>
    <x:row r="25">
      <x:c r="A25" s="33" t="str">
        <x:v>Segment_9_Height</x:v>
      </x:c>
      <x:c r="B25" s="36" t="n">
        <x:v>3</x:v>
      </x:c>
      <x:c r="C25" s="33" t="str">
        <x:v>mm</x:v>
      </x:c>
      <x:c r="D25" s="33" t="str">
        <x:v>ثابت</x:v>
      </x:c>
      <x:c r="E25" s="33"/>
      <x:c r="F25" s="33"/>
      <x:c r="G25" s="33"/>
      <x:c r="H25" s="33"/>
    </x:row>
    <x:row r="26">
      <x:c r="A26" s="33" t="str">
        <x:v>Segment_12_14_41_43_Curve_Height</x:v>
      </x:c>
      <x:c r="B26" s="36" t="n">
        <x:f>B13</x:f>
        <x:v>14.25</x:v>
      </x:c>
      <x:c r="C26" s="33" t="str">
        <x:v>mm</x:v>
      </x:c>
      <x:c r="D26" s="33" t="str">
        <x:v>14.25mm</x:v>
      </x:c>
      <x:c r="E26" s="33"/>
      <x:c r="F26" s="33"/>
      <x:c r="G26" s="33"/>
      <x:c r="H26" s="33"/>
    </x:row>
    <x:row r="27">
      <x:c r="A27" s="33" t="str">
        <x:v>Segment_48_Length</x:v>
      </x:c>
      <x:c r="B27" s="36" t="n">
        <x:f>B23+2</x:f>
        <x:v>7</x:v>
      </x:c>
      <x:c r="C27" s="33" t="str">
        <x:v>mm</x:v>
      </x:c>
      <x:c r="D27" s="33" t="str">
        <x:v>Segment_4_Height + 2mm</x:v>
      </x:c>
      <x:c r="E27" s="33"/>
      <x:c r="F27" s="33"/>
      <x:c r="G27" s="33"/>
      <x:c r="H27" s="33"/>
    </x:row>
    <x:row r="28">
      <x:c r="A28" s="33"/>
      <x:c r="B28" s="33"/>
      <x:c r="C28" s="33"/>
      <x:c r="D28" s="33"/>
      <x:c r="E28" s="33"/>
      <x:c r="F28" s="33"/>
      <x:c r="G28" s="33"/>
      <x:c r="H28" s="33"/>
    </x:row>
    <x:row r="29">
      <x:c r="A29" s="61" t="str">
        <x:v>مقاس الشيت والتوزيع</x:v>
      </x:c>
      <x:c r="B29" s="61"/>
      <x:c r="C29" s="61"/>
      <x:c r="D29" s="61"/>
      <x:c r="E29" s="33"/>
      <x:c r="F29" s="33"/>
      <x:c r="G29" s="33"/>
      <x:c r="H29" s="33"/>
    </x:row>
    <x:row r="30">
      <x:c r="A30" s="63" t="str">
        <x:v>Parameter</x:v>
      </x:c>
      <x:c r="B30" s="63" t="str">
        <x:v>Value</x:v>
      </x:c>
      <x:c r="C30" s="63" t="str">
        <x:v>Unit</x:v>
      </x:c>
      <x:c r="D30" s="63" t="str">
        <x:v>Description</x:v>
      </x:c>
      <x:c r="E30" s="33"/>
      <x:c r="F30" s="33"/>
      <x:c r="G30" s="33"/>
      <x:c r="H30" s="33"/>
    </x:row>
    <x:row r="31">
      <x:c r="A31" s="68" t="str">
        <x:v>Sheet_Width</x:v>
      </x:c>
      <x:c r="B31" s="69" t="n">
        <x:v>700</x:v>
      </x:c>
      <x:c r="C31" s="33" t="str">
        <x:v>mm</x:v>
      </x:c>
      <x:c r="D31" s="33" t="str">
        <x:v>عرض الشيت/الورقة المتاح للتوزيع</x:v>
      </x:c>
    </x:row>
    <x:row r="32">
      <x:c r="A32" s="68" t="str">
        <x:v>Sheet_Height</x:v>
      </x:c>
      <x:c r="B32" s="69" t="n">
        <x:v>1000</x:v>
      </x:c>
      <x:c r="C32" s="33" t="str">
        <x:v>mm</x:v>
      </x:c>
      <x:c r="D32" s="33" t="str">
        <x:v>ارتفاع الشيت/الورقة المتاح للتوزيع</x:v>
      </x:c>
    </x:row>
    <x:row r="33">
      <x:c r="A33" s="68" t="str">
        <x:v>Sheet_Margin</x:v>
      </x:c>
      <x:c r="B33" s="69" t="n">
        <x:v>0</x:v>
      </x:c>
      <x:c r="C33" s="33" t="str">
        <x:v>mm</x:v>
      </x:c>
      <x:c r="D33" s="33" t="str">
        <x:v>هامش أمان ثابت من أطراف الشيت — القيمة التلقائية 0 وقابلة للتغيير</x:v>
      </x:c>
    </x:row>
    <x:row r="34">
      <x:c r="A34" s="68" t="str">
        <x:v>Gripper</x:v>
      </x:c>
      <x:c r="B34" s="69" t="n">
        <x:v>0</x:v>
      </x:c>
      <x:c r="C34" s="33" t="str">
        <x:v>mm</x:v>
      </x:c>
      <x:c r="D34" s="33" t="str">
        <x:v>مساحة مسك الماكينة — القيمة التلقائية 0 وقابلة للتغيير</x:v>
      </x:c>
    </x:row>
    <x:row r="35">
      <x:c r="A35" s="68" t="str">
        <x:v>Usable_Sheet_Width</x:v>
      </x:c>
      <x:c r="B35" s="69" t="n">
        <x:f>B31-(2*B33)</x:f>
        <x:v>700</x:v>
      </x:c>
      <x:c r="C35" s="33" t="str">
        <x:v>mm</x:v>
      </x:c>
      <x:c r="D35" s="33" t="str">
        <x:v>العرض الصافي بعد خصم الهوامش</x:v>
      </x:c>
    </x:row>
    <x:row r="36">
      <x:c r="A36" s="68" t="str">
        <x:v>Usable_Sheet_Height</x:v>
      </x:c>
      <x:c r="B36" s="69" t="n">
        <x:f>B32-(2*B33)-B34</x:f>
        <x:v>1000</x:v>
      </x:c>
      <x:c r="C36" s="33" t="str">
        <x:v>mm</x:v>
      </x:c>
      <x:c r="D36" s="33" t="str">
        <x:v>الارتفاع الصافي بعد خصم الهوامش والجريبر</x:v>
      </x:c>
    </x:row>
    <x:row r="37">
      <x:c r="A37" s="68" t="str">
        <x:v>Allow_Rotation</x:v>
      </x:c>
      <x:c r="B37" s="70" t="str">
        <x:v>Yes</x:v>
      </x:c>
      <x:c r="C37" s="33" t="str">
        <x:v>Yes/No</x:v>
      </x:c>
      <x:c r="D37" s="33" t="str">
        <x:v>السماح بدوران القالب 90° أثناء التوزيع</x:v>
      </x:c>
    </x:row>
    <x:row r="38">
      <x:c r="A38" s="68" t="str">
        <x:v>Rotation_Mode</x:v>
      </x:c>
      <x:c r="B38" s="70" t="str">
        <x:v>Auto</x:v>
      </x:c>
      <x:c r="C38" s="33" t="str">
        <x:v>Auto/Normal/Rotated</x:v>
      </x:c>
      <x:c r="D38" s="33" t="str">
        <x:v>اختيار أفضل توزيع أو إجبار اتجاه محدد</x:v>
      </x:c>
    </x:row>
    <x:row r="39">
      <x:c r="A39" s="68" t="str">
        <x:v>Best_Nesting_Result</x:v>
      </x:c>
      <x:c r="B39" s="71" t="n">
        <x:f>Smart_Nesting_Gap_Model!B25</x:f>
        <x:v>3</x:v>
      </x:c>
      <x:c r="C39" s="33" t="str">
        <x:v>pcs/sheet</x:v>
      </x:c>
      <x:c r="D39" s="33" t="str">
        <x:v>أفضل عدد قطع محسوب في الشيت</x:v>
      </x:c>
    </x:row>
  </x:sheetData>
  <x:mergeCells>
    <x:mergeCell ref="A1:H1"/>
    <x:mergeCell ref="A3:B3"/>
    <x:mergeCell ref="A11:B11"/>
    <x:mergeCell ref="A17:B17"/>
    <x:mergeCell ref="A29:D29"/>
  </x:mergeCells>
  <x:dataValidations count="2">
    <x:dataValidation type="list" sqref="B37">
      <x:formula1>"Yes,No"</x:formula1>
    </x:dataValidation>
    <x:dataValidation type="list" sqref="B38">
      <x:formula1>"Auto,Normal,Rotated"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26" hidden="0" customWidth="1"/>
    <x:col min="5" max="5" width="24" hidden="0" customWidth="1"/>
    <x:col min="6" max="6" width="28" hidden="0" customWidth="1"/>
    <x:col min="7" max="7" width="28" hidden="0" customWidth="1"/>
    <x:col min="8" max="8" width="12" hidden="0" customWidth="1"/>
    <x:col min="9" max="9" width="18" hidden="0" customWidth="1"/>
    <x:col min="10" max="10" width="42" hidden="0" customWidth="1"/>
    <x:col min="11" max="11" width="12" hidden="0" customWidth="1"/>
    <x:col min="12" max="12" width="18" hidden="0" customWidth="1"/>
    <x:col min="13" max="13" width="28" hidden="0" customWidth="1"/>
    <x:col min="14" max="14" width="14" hidden="0" customWidth="1"/>
    <x:col min="15" max="15" width="14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36" hidden="0" customWidth="1"/>
  </x:cols>
  <x:sheetData>
    <x:row r="1" ht="28" customHeight="1">
      <x:c r="A1" s="42" t="str">
        <x:v>Outer Cut Contour Segments — 1 to 47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Segment</x:v>
      </x:c>
      <x:c r="B3" s="44" t="str">
        <x:v>SVG ID</x:v>
      </x:c>
      <x:c r="C3" s="44" t="str">
        <x:v>Arabic Name</x:v>
      </x:c>
      <x:c r="D3" s="44" t="str">
        <x:v>Zone / Function</x:v>
      </x:c>
      <x:c r="E3" s="44" t="str">
        <x:v>Type</x:v>
      </x:c>
      <x:c r="F3" s="44" t="str">
        <x:v>Start Anchor</x:v>
      </x:c>
      <x:c r="G3" s="44" t="str">
        <x:v>End / Link Anchor</x:v>
      </x:c>
      <x:c r="H3" s="44" t="str">
        <x:v>Direction</x:v>
      </x:c>
      <x:c r="I3" s="44" t="str">
        <x:v>Extension Direction</x:v>
      </x:c>
      <x:c r="J3" s="44" t="str">
        <x:v>Rule</x:v>
      </x:c>
      <x:c r="K3" s="44" t="str">
        <x:v>Calc mm</x:v>
      </x:c>
      <x:c r="L3" s="44" t="str">
        <x:v>Fixed / Variable</x:v>
      </x:c>
      <x:c r="M3" s="44" t="str">
        <x:v>Depends On</x:v>
      </x:c>
      <x:c r="N3" s="44" t="str">
        <x:v>Mirror Of</x:v>
      </x:c>
      <x:c r="O3" s="44" t="str">
        <x:v>SVG Direction</x:v>
      </x:c>
      <x:c r="P3" s="44" t="str">
        <x:v>x1</x:v>
      </x:c>
      <x:c r="Q3" s="44" t="str">
        <x:v>y1</x:v>
      </x:c>
      <x:c r="R3" s="44" t="str">
        <x:v>x2</x:v>
      </x:c>
      <x:c r="S3" s="44" t="str">
        <x:v>y2</x:v>
      </x:c>
      <x:c r="T3" s="44" t="str">
        <x:v>Notes</x:v>
      </x:c>
      <x:c r="U3" s="43"/>
      <x:c r="V3" s="43"/>
      <x:c r="W3" s="43"/>
      <x:c r="X3" s="43"/>
      <x:c r="Y3" s="43"/>
      <x:c r="Z3" s="43"/>
    </x:row>
    <x:row r="4">
      <x:c r="A4" s="45" t="n">
        <x:v>1</x:v>
      </x:c>
      <x:c r="B4" s="45" t="str">
        <x:v>LINE_1</x:v>
      </x:c>
      <x:c r="C4" s="45" t="str">
        <x:v>الخط العلوي للسان اللصق</x:v>
      </x:c>
      <x:c r="D4" s="45" t="str">
        <x:v>لسان اللصق</x:v>
      </x:c>
      <x:c r="E4" s="45" t="str">
        <x:v>Angled Line</x:v>
      </x:c>
      <x:c r="F4" s="45" t="str">
        <x:v>بداية لسان اللصق</x:v>
      </x:c>
      <x:c r="G4" s="45" t="str">
        <x:v>نهاية عرض لسان اللصق</x:v>
      </x:c>
      <x:c r="H4" s="45" t="str">
        <x:v>مائل</x:v>
      </x:c>
      <x:c r="I4" s="45" t="str">
        <x:v>حسب Segment 1 / مقابل Segment 46</x:v>
      </x:c>
      <x:c r="J4" s="45" t="str">
        <x:v>Length = Glue_Flap_Width; Angle=25°</x:v>
      </x:c>
      <x:c r="K4" s="54" t="n">
        <x:f>Inputs!$B$14</x:f>
        <x:v>5</x:v>
      </x:c>
      <x:c r="L4" s="45" t="str">
        <x:v>Variable Length / Fixed Angle</x:v>
      </x:c>
      <x:c r="M4" s="45" t="str">
        <x:v>لسان اللصق</x:v>
      </x:c>
      <x:c r="N4" s="45" t="str"/>
      <x:c r="O4" s="45" t="str">
        <x:v>Down-Left</x:v>
      </x:c>
      <x:c r="P4" s="45" t="n">
        <x:v>34.51575</x:v>
      </x:c>
      <x:c r="Q4" s="45" t="n">
        <x:v>153.57086</x:v>
      </x:c>
      <x:c r="R4" s="45" t="n">
        <x:v>0.5</x:v>
      </x:c>
      <x:c r="S4" s="45" t="n">
        <x:v>169.43268</x:v>
      </x:c>
      <x:c r="T4" s="45" t="str">
        <x:v>يحافظ على زاوية 25°</x:v>
      </x:c>
      <x:c r="U4" s="43"/>
      <x:c r="V4" s="43"/>
      <x:c r="W4" s="43"/>
      <x:c r="X4" s="43"/>
      <x:c r="Y4" s="43"/>
      <x:c r="Z4" s="43"/>
    </x:row>
    <x:row r="5">
      <x:c r="A5" s="45" t="n">
        <x:v>2</x:v>
      </x:c>
      <x:c r="B5" s="45" t="str">
        <x:v>LINE_2</x:v>
      </x:c>
      <x:c r="C5" s="45" t="str">
        <x:v>الخط العلوي للواجهة الأولى</x:v>
      </x:c>
      <x:c r="D5" s="45" t="str">
        <x:v>الواجهة الأولى</x:v>
      </x:c>
      <x:c r="E5" s="45" t="str">
        <x:v>Straight Line</x:v>
      </x:c>
      <x:c r="F5" s="45" t="str">
        <x:v>نهاية Segment 1</x:v>
      </x:c>
      <x:c r="G5" s="45" t="str">
        <x:v>نهاية الواجهة الأولى</x:v>
      </x:c>
      <x:c r="H5" s="45" t="str">
        <x:v>أفقي</x:v>
      </x:c>
      <x:c r="I5" s="45" t="str">
        <x:v>Right</x:v>
      </x:c>
      <x:c r="J5" s="45" t="str">
        <x:v>Length = Width</x:v>
      </x:c>
      <x:c r="K5" s="54" t="n">
        <x:f>Inputs!$B$5</x:f>
        <x:v>200</x:v>
      </x:c>
      <x:c r="L5" s="45" t="str">
        <x:v>Variable</x:v>
      </x:c>
      <x:c r="M5" s="45" t="str">
        <x:v>العرض</x:v>
      </x:c>
      <x:c r="N5" s="45" t="str"/>
      <x:c r="O5" s="45" t="str">
        <x:v>Left</x:v>
      </x:c>
      <x:c r="P5" s="45" t="n">
        <x:v>176.24811</x:v>
      </x:c>
      <x:c r="Q5" s="45" t="n">
        <x:v>153.57086</x:v>
      </x:c>
      <x:c r="R5" s="45" t="n">
        <x:v>34.51575</x:v>
      </x:c>
      <x:c r="S5" s="45" t="n">
        <x:v>153.57086</x:v>
      </x:c>
      <x:c r="T5" s="45" t="str"/>
      <x:c r="U5" s="43"/>
      <x:c r="V5" s="43"/>
      <x:c r="W5" s="43"/>
      <x:c r="X5" s="43"/>
      <x:c r="Y5" s="43"/>
      <x:c r="Z5" s="43"/>
    </x:row>
    <x:row r="6">
      <x:c r="A6" s="45" t="n">
        <x:v>3</x:v>
      </x:c>
      <x:c r="B6" s="45" t="str">
        <x:v>LINE_3</x:v>
      </x:c>
      <x:c r="C6" s="45" t="str">
        <x:v>خط بداية العمق الأول</x:v>
      </x:c>
      <x:c r="D6" s="45" t="str">
        <x:v>العمق الأول</x:v>
      </x:c>
      <x:c r="E6" s="45" t="str">
        <x:v>Straight Line</x:v>
      </x:c>
      <x:c r="F6" s="45" t="str">
        <x:v>بداية العمق الأول</x:v>
      </x:c>
      <x:c r="G6" s="45" t="str">
        <x:v>بداية العمق الأول + 0.75mm</x:v>
      </x:c>
      <x:c r="H6" s="45" t="str">
        <x:v>أفقي</x:v>
      </x:c>
      <x:c r="I6" s="45" t="str">
        <x:v>Right</x:v>
      </x:c>
      <x:c r="J6" s="45" t="str">
        <x:v>Length=0.75mm</x:v>
      </x:c>
      <x:c r="K6" s="54" t="n">
        <x:f>0.75</x:f>
        <x:v>0.75</x:v>
      </x:c>
      <x:c r="L6" s="45" t="str">
        <x:v>Fixed</x:v>
      </x:c>
      <x:c r="M6" s="45" t="str">
        <x:v>موقع بداية العمق الأول</x:v>
      </x:c>
      <x:c r="N6" s="45" t="str"/>
      <x:c r="O6" s="45" t="str">
        <x:v>Left</x:v>
      </x:c>
      <x:c r="P6" s="45" t="n">
        <x:v>178.37408</x:v>
      </x:c>
      <x:c r="Q6" s="45" t="n">
        <x:v>153.57086</x:v>
      </x:c>
      <x:c r="R6" s="45" t="n">
        <x:v>176.24811</x:v>
      </x:c>
      <x:c r="S6" s="45" t="n">
        <x:v>153.57086</x:v>
      </x:c>
      <x:c r="T6" s="45" t="str"/>
      <x:c r="U6" s="43"/>
      <x:c r="V6" s="43"/>
      <x:c r="W6" s="43"/>
      <x:c r="X6" s="43"/>
      <x:c r="Y6" s="43"/>
      <x:c r="Z6" s="43"/>
    </x:row>
    <x:row r="7">
      <x:c r="A7" s="45" t="n">
        <x:v>4</x:v>
      </x:c>
      <x:c r="B7" s="45" t="str">
        <x:v>LINE_4</x:v>
      </x:c>
      <x:c r="C7" s="45" t="str">
        <x:v>بداية لسان العمق الأول العلوي</x:v>
      </x:c>
      <x:c r="D7" s="45" t="str">
        <x:v>لسان العمق الأول العلوي</x:v>
      </x:c>
      <x:c r="E7" s="45" t="str">
        <x:v>Straight Line</x:v>
      </x:c>
      <x:c r="F7" s="45" t="str">
        <x:v>نهاية Segment 3</x:v>
      </x:c>
      <x:c r="G7" s="45" t="str"/>
      <x:c r="H7" s="45" t="str">
        <x:v>رأسي</x:v>
      </x:c>
      <x:c r="I7" s="45" t="str">
        <x:v>Up</x:v>
      </x:c>
      <x:c r="J7" s="45" t="str">
        <x:v>Height = IF(Width&lt;=25,3,5)</x:v>
      </x:c>
      <x:c r="K7" s="54" t="n">
        <x:f>Inputs!$B$23</x:f>
        <x:v>5</x:v>
      </x:c>
      <x:c r="L7" s="45" t="str">
        <x:v>Variable by condition</x:v>
      </x:c>
      <x:c r="M7" s="45" t="str">
        <x:v>نهاية Segment 3 + العرض</x:v>
      </x:c>
      <x:c r="N7" s="45" t="str"/>
      <x:c r="O7" s="45" t="str">
        <x:v>Down</x:v>
      </x:c>
      <x:c r="P7" s="45" t="n">
        <x:v>178.37408</x:v>
      </x:c>
      <x:c r="Q7" s="45" t="n">
        <x:v>139.39764</x:v>
      </x:c>
      <x:c r="R7" s="45" t="n">
        <x:v>178.37408</x:v>
      </x:c>
      <x:c r="S7" s="45" t="n">
        <x:v>153.57086</x:v>
      </x:c>
      <x:c r="T7" s="45" t="str"/>
      <x:c r="U7" s="43"/>
      <x:c r="V7" s="43"/>
      <x:c r="W7" s="43"/>
      <x:c r="X7" s="43"/>
      <x:c r="Y7" s="43"/>
      <x:c r="Z7" s="43"/>
    </x:row>
    <x:row r="8">
      <x:c r="A8" s="45" t="n">
        <x:v>5</x:v>
      </x:c>
      <x:c r="B8" s="45" t="str">
        <x:v>LINE_5</x:v>
      </x:c>
      <x:c r="C8" s="45" t="str">
        <x:v>الخط الثاني المكمل للسان العمق الأول العلوي</x:v>
      </x:c>
      <x:c r="D8" s="45" t="str">
        <x:v>لسان العمق الأول العلوي</x:v>
      </x:c>
      <x:c r="E8" s="45" t="str">
        <x:v>Angled Line</x:v>
      </x:c>
      <x:c r="F8" s="45" t="str">
        <x:v>نهاية Segment 4</x:v>
      </x:c>
      <x:c r="G8" s="45" t="str"/>
      <x:c r="H8" s="45" t="str">
        <x:v>مائل</x:v>
      </x:c>
      <x:c r="I8" s="45" t="str">
        <x:v>Up-Right</x:v>
      </x:c>
      <x:c r="J8" s="45" t="str">
        <x:v>Height=2mm; Angle=45°</x:v>
      </x:c>
      <x:c r="K8" s="54" t="n">
        <x:f>2</x:f>
        <x:v>2</x:v>
      </x:c>
      <x:c r="L8" s="45" t="str">
        <x:v>Fixed</x:v>
      </x:c>
      <x:c r="M8" s="45" t="str">
        <x:v>نهاية Segment 4</x:v>
      </x:c>
      <x:c r="N8" s="45" t="str"/>
      <x:c r="O8" s="45" t="str">
        <x:v>Down-Left</x:v>
      </x:c>
      <x:c r="P8" s="45" t="n">
        <x:v>184.04333</x:v>
      </x:c>
      <x:c r="Q8" s="45" t="n">
        <x:v>133.72833</x:v>
      </x:c>
      <x:c r="R8" s="45" t="n">
        <x:v>178.37408</x:v>
      </x:c>
      <x:c r="S8" s="45" t="n">
        <x:v>139.39764</x:v>
      </x:c>
      <x:c r="T8" s="45" t="str"/>
      <x:c r="U8" s="43"/>
      <x:c r="V8" s="43"/>
      <x:c r="W8" s="43"/>
      <x:c r="X8" s="43"/>
      <x:c r="Y8" s="43"/>
      <x:c r="Z8" s="43"/>
    </x:row>
    <x:row r="9">
      <x:c r="A9" s="45" t="n">
        <x:v>6</x:v>
      </x:c>
      <x:c r="B9" s="45" t="str">
        <x:v>LINE_6</x:v>
      </x:c>
      <x:c r="C9" s="45" t="str">
        <x:v>الخط الثالث المكمل للسان العمق الأول العلوي</x:v>
      </x:c>
      <x:c r="D9" s="45" t="str">
        <x:v>لسان العمق الأول العلوي</x:v>
      </x:c>
      <x:c r="E9" s="45" t="str">
        <x:v>Angled Line</x:v>
      </x:c>
      <x:c r="F9" s="45" t="str">
        <x:v>نهاية Segment 5</x:v>
      </x:c>
      <x:c r="G9" s="45" t="str">
        <x:v>نصف المسافة المرجعية</x:v>
      </x:c>
      <x:c r="H9" s="45" t="str">
        <x:v>مائل</x:v>
      </x:c>
      <x:c r="I9" s="45" t="str">
        <x:v>Up-Right</x:v>
      </x:c>
      <x:c r="J9" s="45" t="str">
        <x:v>Angle=30°; vertical end by reference half distance</x:v>
      </x:c>
      <x:c r="K9" s="54" t="str"/>
      <x:c r="L9" s="45" t="str">
        <x:v>Variable / Fixed Angle</x:v>
      </x:c>
      <x:c r="M9" s="45" t="str">
        <x:v>Segment 4 start + lid tongue top + Face2 top</x:v>
      </x:c>
      <x:c r="N9" s="45" t="str"/>
      <x:c r="O9" s="45" t="str">
        <x:v>Down-Left</x:v>
      </x:c>
      <x:c r="P9" s="45" t="n">
        <x:v>199.23419</x:v>
      </x:c>
      <x:c r="Q9" s="45" t="n">
        <x:v>77.03546</x:v>
      </x:c>
      <x:c r="R9" s="45" t="n">
        <x:v>184.04333</x:v>
      </x:c>
      <x:c r="S9" s="45" t="n">
        <x:v>133.72833</x:v>
      </x:c>
      <x:c r="T9" s="45" t="str"/>
      <x:c r="U9" s="43"/>
      <x:c r="V9" s="43"/>
      <x:c r="W9" s="43"/>
      <x:c r="X9" s="43"/>
      <x:c r="Y9" s="43"/>
      <x:c r="Z9" s="43"/>
    </x:row>
    <x:row r="10">
      <x:c r="A10" s="45" t="n">
        <x:v>7</x:v>
      </x:c>
      <x:c r="B10" s="45" t="str">
        <x:v>LINE_7</x:v>
      </x:c>
      <x:c r="C10" s="45" t="str">
        <x:v>الخط الرابع المكمل للسان العمق الأول العلوي</x:v>
      </x:c>
      <x:c r="D10" s="45" t="str">
        <x:v>لسان العمق الأول العلوي</x:v>
      </x:c>
      <x:c r="E10" s="45" t="str">
        <x:v>Straight Line</x:v>
      </x:c>
      <x:c r="F10" s="45" t="str">
        <x:v>نهاية Segment 6</x:v>
      </x:c>
      <x:c r="G10" s="45" t="str">
        <x:v>بداية الغطاء العلوي - 5mm</x:v>
      </x:c>
      <x:c r="H10" s="45" t="str">
        <x:v>أفقي</x:v>
      </x:c>
      <x:c r="I10" s="45" t="str">
        <x:v>Right</x:v>
      </x:c>
      <x:c r="J10" s="45" t="str">
        <x:v>Stops 5mm before top lid start</x:v>
      </x:c>
      <x:c r="K10" s="54" t="str"/>
      <x:c r="L10" s="45" t="str">
        <x:v>Variable</x:v>
      </x:c>
      <x:c r="M10" s="45" t="str">
        <x:v>نهاية Segment 6 + بداية الغطاء العلوي</x:v>
      </x:c>
      <x:c r="N10" s="45" t="str"/>
      <x:c r="O10" s="45" t="str">
        <x:v>Left</x:v>
      </x:c>
      <x:c r="P10" s="45" t="n">
        <x:v>275.46069</x:v>
      </x:c>
      <x:c r="Q10" s="45" t="n">
        <x:v>77.03546</x:v>
      </x:c>
      <x:c r="R10" s="45" t="n">
        <x:v>199.23419</x:v>
      </x:c>
      <x:c r="S10" s="45" t="n">
        <x:v>77.03546</x:v>
      </x:c>
      <x:c r="T10" s="45" t="str"/>
      <x:c r="U10" s="43"/>
      <x:c r="V10" s="43"/>
      <x:c r="W10" s="43"/>
      <x:c r="X10" s="43"/>
      <x:c r="Y10" s="43"/>
      <x:c r="Z10" s="43"/>
    </x:row>
    <x:row r="11">
      <x:c r="A11" s="45" t="n">
        <x:v>8</x:v>
      </x:c>
      <x:c r="B11" s="45" t="str">
        <x:v>LINE_8</x:v>
      </x:c>
      <x:c r="C11" s="45" t="str">
        <x:v>خط الربط بين Segment 7 و Segment 9</x:v>
      </x:c>
      <x:c r="D11" s="45" t="str">
        <x:v>لسان العمق الأول العلوي</x:v>
      </x:c>
      <x:c r="E11" s="45" t="str">
        <x:v>Angled Connector Line</x:v>
      </x:c>
      <x:c r="F11" s="45" t="str">
        <x:v>نهاية Segment 7</x:v>
      </x:c>
      <x:c r="G11" s="45" t="str">
        <x:v>بداية Segment 9</x:v>
      </x:c>
      <x:c r="H11" s="45" t="str">
        <x:v>مائل</x:v>
      </x:c>
      <x:c r="I11" s="45" t="str">
        <x:v>Down-Right</x:v>
      </x:c>
      <x:c r="J11" s="45" t="str">
        <x:v>Connects Segment 7 to Segment 9</x:v>
      </x:c>
      <x:c r="K11" s="54" t="str"/>
      <x:c r="L11" s="45" t="str">
        <x:v>Variable</x:v>
      </x:c>
      <x:c r="M11" s="45" t="str">
        <x:v>Segment 7 + Segment 9</x:v>
      </x:c>
      <x:c r="N11" s="45" t="str"/>
      <x:c r="O11" s="45" t="str">
        <x:v>Up-Left</x:v>
      </x:c>
      <x:c r="P11" s="45" t="n">
        <x:v>281.12994</x:v>
      </x:c>
      <x:c r="Q11" s="45" t="n">
        <x:v>145.06696</x:v>
      </x:c>
      <x:c r="R11" s="45" t="n">
        <x:v>275.46069</x:v>
      </x:c>
      <x:c r="S11" s="45" t="n">
        <x:v>77.03546</x:v>
      </x:c>
      <x:c r="T11" s="45" t="str"/>
      <x:c r="U11" s="43"/>
      <x:c r="V11" s="43"/>
      <x:c r="W11" s="43"/>
      <x:c r="X11" s="43"/>
      <x:c r="Y11" s="43"/>
      <x:c r="Z11" s="43"/>
    </x:row>
    <x:row r="12">
      <x:c r="A12" s="45" t="n">
        <x:v>9</x:v>
      </x:c>
      <x:c r="B12" s="45" t="str">
        <x:v>LINE_9</x:v>
      </x:c>
      <x:c r="C12" s="45" t="str">
        <x:v>الخط السادس المكمل للسان العمق الأول العلوي</x:v>
      </x:c>
      <x:c r="D12" s="45" t="str">
        <x:v>لسان العمق الأول العلوي</x:v>
      </x:c>
      <x:c r="E12" s="45" t="str">
        <x:v>Angled Line</x:v>
      </x:c>
      <x:c r="F12" s="45" t="str">
        <x:v>نهاية Segment 8</x:v>
      </x:c>
      <x:c r="G12" s="45" t="str"/>
      <x:c r="H12" s="45" t="str">
        <x:v>مائل</x:v>
      </x:c>
      <x:c r="I12" s="45" t="str">
        <x:v>Down-Right</x:v>
      </x:c>
      <x:c r="J12" s="45" t="str">
        <x:v>Height=3mm; Angle=45°</x:v>
      </x:c>
      <x:c r="K12" s="54" t="n">
        <x:f>3</x:f>
        <x:v>3</x:v>
      </x:c>
      <x:c r="L12" s="45" t="str">
        <x:v>Fixed</x:v>
      </x:c>
      <x:c r="M12" s="45" t="str">
        <x:v>نهاية Segment 8</x:v>
      </x:c>
      <x:c r="N12" s="45" t="str"/>
      <x:c r="O12" s="45" t="str">
        <x:v>Up-Left</x:v>
      </x:c>
      <x:c r="P12" s="45" t="n">
        <x:v>289.63387</x:v>
      </x:c>
      <x:c r="Q12" s="45" t="n">
        <x:v>153.57086</x:v>
      </x:c>
      <x:c r="R12" s="45" t="n">
        <x:v>281.12991</x:v>
      </x:c>
      <x:c r="S12" s="45" t="n">
        <x:v>145.06696</x:v>
      </x:c>
      <x:c r="T12" s="45" t="str"/>
      <x:c r="U12" s="43"/>
      <x:c r="V12" s="43"/>
      <x:c r="W12" s="43"/>
      <x:c r="X12" s="43"/>
      <x:c r="Y12" s="43"/>
      <x:c r="Z12" s="43"/>
    </x:row>
    <x:row r="13">
      <x:c r="A13" s="45" t="n">
        <x:v>10</x:v>
      </x:c>
      <x:c r="B13" s="45" t="str">
        <x:v>LINE_10</x:v>
      </x:c>
      <x:c r="C13" s="45" t="str">
        <x:v>الخط الأول للغطاء العلوي</x:v>
      </x:c>
      <x:c r="D13" s="45" t="str">
        <x:v>الغطاء العلوي</x:v>
      </x:c>
      <x:c r="E13" s="45" t="str">
        <x:v>Straight Line</x:v>
      </x:c>
      <x:c r="F13" s="45" t="str">
        <x:v>نهاية Segment 9</x:v>
      </x:c>
      <x:c r="G13" s="45" t="str"/>
      <x:c r="H13" s="45" t="str">
        <x:v>رأسي</x:v>
      </x:c>
      <x:c r="I13" s="45" t="str">
        <x:v>Up</x:v>
      </x:c>
      <x:c r="J13" s="45" t="str">
        <x:v>Height = Depth - 0.25mm</x:v>
      </x:c>
      <x:c r="K13" s="54" t="n">
        <x:f>Inputs!$B$22</x:f>
        <x:v>49.75</x:v>
      </x:c>
      <x:c r="L13" s="45" t="str">
        <x:v>Variable</x:v>
      </x:c>
      <x:c r="M13" s="45" t="str">
        <x:v>العمق</x:v>
      </x:c>
      <x:c r="N13" s="45" t="str"/>
      <x:c r="O13" s="45" t="str">
        <x:v>Down</x:v>
      </x:c>
      <x:c r="P13" s="45" t="n">
        <x:v>289.63386</x:v>
      </x:c>
      <x:c r="Q13" s="45" t="n">
        <x:v>40.89368</x:v>
      </x:c>
      <x:c r="R13" s="45" t="n">
        <x:v>289.63386</x:v>
      </x:c>
      <x:c r="S13" s="45" t="n">
        <x:v>153.57086</x:v>
      </x:c>
      <x:c r="T13" s="45" t="str"/>
      <x:c r="U13" s="43"/>
      <x:c r="V13" s="43"/>
      <x:c r="W13" s="43"/>
      <x:c r="X13" s="43"/>
      <x:c r="Y13" s="43"/>
      <x:c r="Z13" s="43"/>
    </x:row>
    <x:row r="14">
      <x:c r="A14" s="45" t="n">
        <x:v>11</x:v>
      </x:c>
      <x:c r="B14" s="45" t="str">
        <x:v>LINE_11</x:v>
      </x:c>
      <x:c r="C14" s="45" t="str">
        <x:v>الخط الثاني للغطاء العلوي</x:v>
      </x:c>
      <x:c r="D14" s="45" t="str">
        <x:v>الغطاء العلوي</x:v>
      </x:c>
      <x:c r="E14" s="45" t="str">
        <x:v>Straight Line</x:v>
      </x:c>
      <x:c r="F14" s="45" t="str">
        <x:v>نهاية Segment 10</x:v>
      </x:c>
      <x:c r="G14" s="45" t="str"/>
      <x:c r="H14" s="45" t="str">
        <x:v>أفقي</x:v>
      </x:c>
      <x:c r="I14" s="45" t="str">
        <x:v>Right</x:v>
      </x:c>
      <x:c r="J14" s="45" t="str">
        <x:v>Width=0.5mm</x:v>
      </x:c>
      <x:c r="K14" s="54" t="n">
        <x:f>0.5</x:f>
        <x:v>0.5</x:v>
      </x:c>
      <x:c r="L14" s="45" t="str">
        <x:v>Fixed</x:v>
      </x:c>
      <x:c r="M14" s="45" t="str">
        <x:v>نهاية Segment 10</x:v>
      </x:c>
      <x:c r="N14" s="45" t="str"/>
      <x:c r="O14" s="45" t="str">
        <x:v>Down-Right</x:v>
      </x:c>
      <x:c r="P14" s="45" t="n">
        <x:v>289.63387</x:v>
      </x:c>
      <x:c r="Q14" s="45" t="n">
        <x:v>40.89339</x:v>
      </x:c>
      <x:c r="R14" s="45" t="n">
        <x:v>291.05117</x:v>
      </x:c>
      <x:c r="S14" s="45" t="n">
        <x:v>40.8934</x:v>
      </x:c>
      <x:c r="T14" s="45" t="str"/>
      <x:c r="U14" s="43"/>
      <x:c r="V14" s="43"/>
      <x:c r="W14" s="43"/>
      <x:c r="X14" s="43"/>
      <x:c r="Y14" s="43"/>
      <x:c r="Z14" s="43"/>
    </x:row>
    <x:row r="15">
      <x:c r="A15" s="45" t="n">
        <x:v>12</x:v>
      </x:c>
      <x:c r="B15" s="45" t="str">
        <x:v>LINE_12</x:v>
      </x:c>
      <x:c r="C15" s="45" t="str">
        <x:v>الخط الأول للسان الغطاء العلوي</x:v>
      </x:c>
      <x:c r="D15" s="45" t="str">
        <x:v>لسان الغطاء العلوي</x:v>
      </x:c>
      <x:c r="E15" s="45" t="str">
        <x:v>Preserved Bezier Curve</x:v>
      </x:c>
      <x:c r="F15" s="45" t="str">
        <x:v>نهاية Segment 11</x:v>
      </x:c>
      <x:c r="G15" s="45" t="str"/>
      <x:c r="H15" s="45" t="str">
        <x:v>منحنى</x:v>
      </x:c>
      <x:c r="I15" s="45" t="str">
        <x:v>Up</x:v>
      </x:c>
      <x:c r="J15" s="45" t="str">
        <x:v>Height=14.25mm; preserve curve</x:v>
      </x:c>
      <x:c r="K15" s="54" t="n">
        <x:f>Inputs!$B$13</x:f>
        <x:v>14.25</x:v>
      </x:c>
      <x:c r="L15" s="45" t="str">
        <x:v>Fixed Height / Preserved Curve</x:v>
      </x:c>
      <x:c r="M15" s="45" t="str">
        <x:v>نهاية Segment 11 + منطقة اللسان</x:v>
      </x:c>
      <x:c r="N15" s="45" t="str"/>
      <x:c r="O15" s="45" t="str"/>
      <x:c r="P15" s="45"/>
      <x:c r="Q15" s="45"/>
      <x:c r="R15" s="45"/>
      <x:c r="S15" s="45"/>
      <x:c r="T15" s="45" t="str">
        <x:v>لا global scaling</x:v>
      </x:c>
      <x:c r="U15" s="43"/>
      <x:c r="V15" s="43"/>
      <x:c r="W15" s="43"/>
      <x:c r="X15" s="43"/>
      <x:c r="Y15" s="43"/>
      <x:c r="Z15" s="43"/>
    </x:row>
    <x:row r="16">
      <x:c r="A16" s="45" t="n">
        <x:v>13</x:v>
      </x:c>
      <x:c r="B16" s="45" t="str">
        <x:v>LINE_13</x:v>
      </x:c>
      <x:c r="C16" s="45" t="str">
        <x:v>الخط الثاني للسان الغطاء العلوي</x:v>
      </x:c>
      <x:c r="D16" s="45" t="str">
        <x:v>لسان الغطاء العلوي</x:v>
      </x:c>
      <x:c r="E16" s="45" t="str">
        <x:v>Straight Connector Line</x:v>
      </x:c>
      <x:c r="F16" s="45" t="str">
        <x:v>نهاية Segment 12</x:v>
      </x:c>
      <x:c r="G16" s="45" t="str">
        <x:v>بداية Segment 14</x:v>
      </x:c>
      <x:c r="H16" s="45" t="str">
        <x:v>أفقي</x:v>
      </x:c>
      <x:c r="I16" s="45" t="str">
        <x:v>Between anchors</x:v>
      </x:c>
      <x:c r="J16" s="45" t="str">
        <x:v>Length = distance between Segment 12 end and Segment 14 start</x:v>
      </x:c>
      <x:c r="K16" s="54" t="str"/>
      <x:c r="L16" s="45" t="str">
        <x:v>Variable</x:v>
      </x:c>
      <x:c r="M16" s="45" t="str">
        <x:v>Segment 12 + Segment 14</x:v>
      </x:c>
      <x:c r="N16" s="45" t="str"/>
      <x:c r="O16" s="45" t="str">
        <x:v>Left</x:v>
      </x:c>
      <x:c r="P16" s="45" t="n">
        <x:v>408.03772</x:v>
      </x:c>
      <x:c r="Q16" s="45" t="n">
        <x:v>0.5</x:v>
      </x:c>
      <x:c r="R16" s="45" t="n">
        <x:v>312.96234</x:v>
      </x:c>
      <x:c r="S16" s="45" t="n">
        <x:v>0.5</x:v>
      </x:c>
      <x:c r="T16" s="45" t="str"/>
      <x:c r="U16" s="43"/>
      <x:c r="V16" s="43"/>
      <x:c r="W16" s="43"/>
      <x:c r="X16" s="43"/>
      <x:c r="Y16" s="43"/>
      <x:c r="Z16" s="43"/>
    </x:row>
    <x:row r="17">
      <x:c r="A17" s="45" t="n">
        <x:v>14</x:v>
      </x:c>
      <x:c r="B17" s="45" t="str">
        <x:v>LINE_14</x:v>
      </x:c>
      <x:c r="C17" s="45" t="str">
        <x:v>الخط الثالث للسان الغطاء العلوي</x:v>
      </x:c>
      <x:c r="D17" s="45" t="str">
        <x:v>لسان الغطاء العلوي</x:v>
      </x:c>
      <x:c r="E17" s="45" t="str">
        <x:v>Mirrored Preserved Bezier Curve</x:v>
      </x:c>
      <x:c r="F17" s="45" t="str">
        <x:v>نهاية Segment 13</x:v>
      </x:c>
      <x:c r="G17" s="45" t="str"/>
      <x:c r="H17" s="45" t="str">
        <x:v>منحنى</x:v>
      </x:c>
      <x:c r="I17" s="45" t="str">
        <x:v>Down</x:v>
      </x:c>
      <x:c r="J17" s="45" t="str">
        <x:v>Same as Segment 12 mirrored right-to-left; Height=14.25mm</x:v>
      </x:c>
      <x:c r="K17" s="54" t="n">
        <x:f>Inputs!$B$13</x:f>
        <x:v>14.25</x:v>
      </x:c>
      <x:c r="L17" s="45" t="str">
        <x:v>Fixed Height / Preserved Curve</x:v>
      </x:c>
      <x:c r="M17" s="45" t="str">
        <x:v>Segment 13 + Segment 12</x:v>
      </x:c>
      <x:c r="N17" s="45" t="str">
        <x:v>Segment 12</x:v>
      </x:c>
      <x:c r="O17" s="45" t="str"/>
      <x:c r="P17" s="45"/>
      <x:c r="Q17" s="45"/>
      <x:c r="R17" s="45"/>
      <x:c r="S17" s="45"/>
      <x:c r="T17" s="45" t="str"/>
      <x:c r="U17" s="43"/>
      <x:c r="V17" s="43"/>
      <x:c r="W17" s="43"/>
      <x:c r="X17" s="43"/>
      <x:c r="Y17" s="43"/>
      <x:c r="Z17" s="43"/>
    </x:row>
    <x:row r="18">
      <x:c r="A18" s="45" t="n">
        <x:v>15</x:v>
      </x:c>
      <x:c r="B18" s="45" t="str">
        <x:v>LINE_15</x:v>
      </x:c>
      <x:c r="C18" s="45" t="str">
        <x:v>الخط الثالث للغطاء العلوي</x:v>
      </x:c>
      <x:c r="D18" s="45" t="str">
        <x:v>الغطاء العلوي</x:v>
      </x:c>
      <x:c r="E18" s="45" t="str">
        <x:v>Straight Line</x:v>
      </x:c>
      <x:c r="F18" s="45" t="str">
        <x:v>نهاية Segment 14</x:v>
      </x:c>
      <x:c r="G18" s="45" t="str"/>
      <x:c r="H18" s="45" t="str">
        <x:v>أفقي</x:v>
      </x:c>
      <x:c r="I18" s="45" t="str">
        <x:v>Right</x:v>
      </x:c>
      <x:c r="J18" s="45" t="str">
        <x:v>Width=0.5mm</x:v>
      </x:c>
      <x:c r="K18" s="54" t="n">
        <x:f>0.5</x:f>
        <x:v>0.5</x:v>
      </x:c>
      <x:c r="L18" s="45" t="str">
        <x:v>Fixed</x:v>
      </x:c>
      <x:c r="M18" s="45" t="str">
        <x:v>نهاية Segment 14</x:v>
      </x:c>
      <x:c r="N18" s="45" t="str">
        <x:v>Segment 11</x:v>
      </x:c>
      <x:c r="O18" s="45" t="str">
        <x:v>Up-Left</x:v>
      </x:c>
      <x:c r="P18" s="45" t="n">
        <x:v>431.36616</x:v>
      </x:c>
      <x:c r="Q18" s="45" t="n">
        <x:v>40.89336</x:v>
      </x:c>
      <x:c r="R18" s="45" t="n">
        <x:v>429.9488</x:v>
      </x:c>
      <x:c r="S18" s="45" t="n">
        <x:v>40.89335</x:v>
      </x:c>
      <x:c r="T18" s="45" t="str">
        <x:v>Same rule as Segment 11</x:v>
      </x:c>
      <x:c r="U18" s="43"/>
      <x:c r="V18" s="43"/>
      <x:c r="W18" s="43"/>
      <x:c r="X18" s="43"/>
      <x:c r="Y18" s="43"/>
      <x:c r="Z18" s="43"/>
    </x:row>
    <x:row r="19">
      <x:c r="A19" s="45" t="n">
        <x:v>16</x:v>
      </x:c>
      <x:c r="B19" s="45" t="str">
        <x:v>LINE_16</x:v>
      </x:c>
      <x:c r="C19" s="45" t="str">
        <x:v>الخط الرابع للغطاء العلوي</x:v>
      </x:c>
      <x:c r="D19" s="45" t="str">
        <x:v>الغطاء العلوي</x:v>
      </x:c>
      <x:c r="E19" s="45" t="str">
        <x:v>Straight Line</x:v>
      </x:c>
      <x:c r="F19" s="45" t="str">
        <x:v>نهاية Segment 15</x:v>
      </x:c>
      <x:c r="G19" s="45" t="str"/>
      <x:c r="H19" s="45" t="str">
        <x:v>رأسي</x:v>
      </x:c>
      <x:c r="I19" s="45" t="str">
        <x:v>Down</x:v>
      </x:c>
      <x:c r="J19" s="45" t="str">
        <x:v>Height = Depth - 0.25mm</x:v>
      </x:c>
      <x:c r="K19" s="54" t="n">
        <x:f>Inputs!$B$22</x:f>
        <x:v>49.75</x:v>
      </x:c>
      <x:c r="L19" s="45" t="str">
        <x:v>Variable</x:v>
      </x:c>
      <x:c r="M19" s="45" t="str">
        <x:v>العمق</x:v>
      </x:c>
      <x:c r="N19" s="45" t="str">
        <x:v>Segment 10</x:v>
      </x:c>
      <x:c r="O19" s="45" t="str">
        <x:v>Up</x:v>
      </x:c>
      <x:c r="P19" s="45" t="n">
        <x:v>431.36621</x:v>
      </x:c>
      <x:c r="Q19" s="45" t="n">
        <x:v>153.57086</x:v>
      </x:c>
      <x:c r="R19" s="45" t="n">
        <x:v>431.36621</x:v>
      </x:c>
      <x:c r="S19" s="45" t="n">
        <x:v>40.89368</x:v>
      </x:c>
      <x:c r="T19" s="45" t="str">
        <x:v>Opposite direction of Segment 10</x:v>
      </x:c>
      <x:c r="U19" s="43"/>
      <x:c r="V19" s="43"/>
      <x:c r="W19" s="43"/>
      <x:c r="X19" s="43"/>
      <x:c r="Y19" s="43"/>
      <x:c r="Z19" s="43"/>
    </x:row>
    <x:row r="20">
      <x:c r="A20" s="45" t="n">
        <x:v>17</x:v>
      </x:c>
      <x:c r="B20" s="45" t="str">
        <x:v>LINE_17</x:v>
      </x:c>
      <x:c r="C20" s="45" t="str">
        <x:v>الخط الأول للسان العمق الثاني العلوي</x:v>
      </x:c>
      <x:c r="D20" s="45" t="str">
        <x:v>لسان العمق الثاني العلوي</x:v>
      </x:c>
      <x:c r="E20" s="45" t="str">
        <x:v>Angled Line</x:v>
      </x:c>
      <x:c r="F20" s="45" t="str">
        <x:v>نهاية Segment 16</x:v>
      </x:c>
      <x:c r="G20" s="45" t="str"/>
      <x:c r="H20" s="45" t="str">
        <x:v>مائل</x:v>
      </x:c>
      <x:c r="I20" s="45" t="str">
        <x:v>Up-Right</x:v>
      </x:c>
      <x:c r="J20" s="45" t="str">
        <x:v>Height=3mm; Angle=45°</x:v>
      </x:c>
      <x:c r="K20" s="54" t="n">
        <x:f>3</x:f>
        <x:v>3</x:v>
      </x:c>
      <x:c r="L20" s="45" t="str">
        <x:v>Fixed</x:v>
      </x:c>
      <x:c r="M20" s="45" t="str">
        <x:v>نهاية Segment 16</x:v>
      </x:c>
      <x:c r="N20" s="45" t="str"/>
      <x:c r="O20" s="45" t="str">
        <x:v>Down-Left</x:v>
      </x:c>
      <x:c r="P20" s="45" t="n">
        <x:v>439.87012</x:v>
      </x:c>
      <x:c r="Q20" s="45" t="n">
        <x:v>145.06696</x:v>
      </x:c>
      <x:c r="R20" s="45" t="n">
        <x:v>431.36621</x:v>
      </x:c>
      <x:c r="S20" s="45" t="n">
        <x:v>153.57086</x:v>
      </x:c>
      <x:c r="T20" s="45" t="str"/>
      <x:c r="U20" s="43"/>
      <x:c r="V20" s="43"/>
      <x:c r="W20" s="43"/>
      <x:c r="X20" s="43"/>
      <x:c r="Y20" s="43"/>
      <x:c r="Z20" s="43"/>
    </x:row>
    <x:row r="21">
      <x:c r="A21" s="45" t="n">
        <x:v>18</x:v>
      </x:c>
      <x:c r="B21" s="45" t="str">
        <x:v>LINE_18</x:v>
      </x:c>
      <x:c r="C21" s="45" t="str">
        <x:v>الخط الثاني المكمل للسان العمق الثاني العلوي</x:v>
      </x:c>
      <x:c r="D21" s="45" t="str">
        <x:v>لسان العمق الثاني العلوي</x:v>
      </x:c>
      <x:c r="E21" s="45" t="str">
        <x:v>Angled Line</x:v>
      </x:c>
      <x:c r="F21" s="45" t="str">
        <x:v>نهاية Segment 17</x:v>
      </x:c>
      <x:c r="G21" s="45" t="str"/>
      <x:c r="H21" s="45" t="str">
        <x:v>مائل</x:v>
      </x:c>
      <x:c r="I21" s="45" t="str">
        <x:v>Up-Right</x:v>
      </x:c>
      <x:c r="J21" s="45" t="str">
        <x:v>Angle=30°; vertical height same as Segment 8; gap from Segment16=5mm</x:v>
      </x:c>
      <x:c r="K21" s="54" t="str"/>
      <x:c r="L21" s="45" t="str">
        <x:v>Variable / Fixed Angle</x:v>
      </x:c>
      <x:c r="M21" s="45" t="str">
        <x:v>Segment 17 + Segment 8 + Segment 16</x:v>
      </x:c>
      <x:c r="N21" s="45" t="str"/>
      <x:c r="O21" s="45" t="str">
        <x:v>Down-Left</x:v>
      </x:c>
      <x:c r="P21" s="45" t="n">
        <x:v>445.53943</x:v>
      </x:c>
      <x:c r="Q21" s="45" t="n">
        <x:v>77.03546</x:v>
      </x:c>
      <x:c r="R21" s="45" t="n">
        <x:v>439.87012</x:v>
      </x:c>
      <x:c r="S21" s="45" t="n">
        <x:v>145.06696</x:v>
      </x:c>
      <x:c r="T21" s="45" t="str"/>
      <x:c r="U21" s="43"/>
      <x:c r="V21" s="43"/>
      <x:c r="W21" s="43"/>
      <x:c r="X21" s="43"/>
      <x:c r="Y21" s="43"/>
      <x:c r="Z21" s="43"/>
    </x:row>
    <x:row r="22">
      <x:c r="A22" s="45" t="n">
        <x:v>19</x:v>
      </x:c>
      <x:c r="B22" s="45" t="str">
        <x:v>LINE_19</x:v>
      </x:c>
      <x:c r="C22" s="45" t="str">
        <x:v>الخط الثالث المكمل للسان العمق الثاني العلوي</x:v>
      </x:c>
      <x:c r="D22" s="45" t="str">
        <x:v>لسان العمق الثاني العلوي</x:v>
      </x:c>
      <x:c r="E22" s="45" t="str">
        <x:v>Straight Line</x:v>
      </x:c>
      <x:c r="F22" s="45" t="str">
        <x:v>نهاية Segment 18</x:v>
      </x:c>
      <x:c r="G22" s="45" t="str"/>
      <x:c r="H22" s="45" t="str">
        <x:v>أفقي</x:v>
      </x:c>
      <x:c r="I22" s="45" t="str">
        <x:v>Right</x:v>
      </x:c>
      <x:c r="J22" s="45" t="str">
        <x:v>Length = Length(Segment 7) + 0.25mm</x:v>
      </x:c>
      <x:c r="K22" s="54" t="str"/>
      <x:c r="L22" s="45" t="str">
        <x:v>Variable</x:v>
      </x:c>
      <x:c r="M22" s="45" t="str">
        <x:v>Segment 18 + Segment 7</x:v>
      </x:c>
      <x:c r="N22" s="45" t="str"/>
      <x:c r="O22" s="45" t="str">
        <x:v>Left</x:v>
      </x:c>
      <x:c r="P22" s="45" t="n">
        <x:v>522.47461</x:v>
      </x:c>
      <x:c r="Q22" s="45" t="n">
        <x:v>77.03546</x:v>
      </x:c>
      <x:c r="R22" s="45" t="n">
        <x:v>445.53943</x:v>
      </x:c>
      <x:c r="S22" s="45" t="n">
        <x:v>77.03546</x:v>
      </x:c>
      <x:c r="T22" s="45" t="str"/>
      <x:c r="U22" s="43"/>
      <x:c r="V22" s="43"/>
      <x:c r="W22" s="43"/>
      <x:c r="X22" s="43"/>
      <x:c r="Y22" s="43"/>
      <x:c r="Z22" s="43"/>
    </x:row>
    <x:row r="23">
      <x:c r="A23" s="45" t="n">
        <x:v>20</x:v>
      </x:c>
      <x:c r="B23" s="45" t="str">
        <x:v>LINE_20</x:v>
      </x:c>
      <x:c r="C23" s="45" t="str">
        <x:v>الخط الرابع المكمل للسان العمق الثاني العلوي</x:v>
      </x:c>
      <x:c r="D23" s="45" t="str">
        <x:v>لسان العمق الثاني العلوي</x:v>
      </x:c>
      <x:c r="E23" s="45" t="str">
        <x:v>Angled Line</x:v>
      </x:c>
      <x:c r="F23" s="45" t="str">
        <x:v>نهاية Segment 19</x:v>
      </x:c>
      <x:c r="G23" s="45" t="str"/>
      <x:c r="H23" s="45" t="str">
        <x:v>مائل</x:v>
      </x:c>
      <x:c r="I23" s="45" t="str">
        <x:v>Down-Right</x:v>
      </x:c>
      <x:c r="J23" s="45" t="str">
        <x:v>Angle=30°; vertical height same as Segment 6</x:v>
      </x:c>
      <x:c r="K23" s="54" t="str"/>
      <x:c r="L23" s="45" t="str">
        <x:v>Variable / Fixed Angle</x:v>
      </x:c>
      <x:c r="M23" s="45" t="str">
        <x:v>Segment 19 + Segment 6</x:v>
      </x:c>
      <x:c r="N23" s="45" t="str"/>
      <x:c r="O23" s="45" t="str">
        <x:v>Up-Left</x:v>
      </x:c>
      <x:c r="P23" s="45" t="n">
        <x:v>537.66541</x:v>
      </x:c>
      <x:c r="Q23" s="45" t="n">
        <x:v>133.72833</x:v>
      </x:c>
      <x:c r="R23" s="45" t="n">
        <x:v>522.47461</x:v>
      </x:c>
      <x:c r="S23" s="45" t="n">
        <x:v>77.03546</x:v>
      </x:c>
      <x:c r="T23" s="45" t="str"/>
      <x:c r="U23" s="43"/>
      <x:c r="V23" s="43"/>
      <x:c r="W23" s="43"/>
      <x:c r="X23" s="43"/>
      <x:c r="Y23" s="43"/>
      <x:c r="Z23" s="43"/>
    </x:row>
    <x:row r="24">
      <x:c r="A24" s="45" t="n">
        <x:v>21</x:v>
      </x:c>
      <x:c r="B24" s="45" t="str">
        <x:v>LINE_21</x:v>
      </x:c>
      <x:c r="C24" s="45" t="str">
        <x:v>الخط الخامس المكمل للسان العمق الثاني العلوي</x:v>
      </x:c>
      <x:c r="D24" s="45" t="str">
        <x:v>لسان العمق الثاني العلوي</x:v>
      </x:c>
      <x:c r="E24" s="45" t="str">
        <x:v>Angled Line</x:v>
      </x:c>
      <x:c r="F24" s="45" t="str">
        <x:v>نهاية Segment 20</x:v>
      </x:c>
      <x:c r="G24" s="45" t="str"/>
      <x:c r="H24" s="45" t="str">
        <x:v>مائل</x:v>
      </x:c>
      <x:c r="I24" s="45" t="str">
        <x:v>Down-Right</x:v>
      </x:c>
      <x:c r="J24" s="45" t="str">
        <x:v>Height=2mm; Angle=45°</x:v>
      </x:c>
      <x:c r="K24" s="54" t="n">
        <x:f>2</x:f>
        <x:v>2</x:v>
      </x:c>
      <x:c r="L24" s="45" t="str">
        <x:v>Fixed</x:v>
      </x:c>
      <x:c r="M24" s="45" t="str">
        <x:v>نهاية Segment 20</x:v>
      </x:c>
      <x:c r="N24" s="45" t="str"/>
      <x:c r="O24" s="45" t="str">
        <x:v>Up-Left</x:v>
      </x:c>
      <x:c r="P24" s="45" t="n">
        <x:v>543.33472</x:v>
      </x:c>
      <x:c r="Q24" s="45" t="n">
        <x:v>139.39764</x:v>
      </x:c>
      <x:c r="R24" s="45" t="n">
        <x:v>537.66541</x:v>
      </x:c>
      <x:c r="S24" s="45" t="n">
        <x:v>133.72833</x:v>
      </x:c>
      <x:c r="T24" s="45" t="str"/>
      <x:c r="U24" s="43"/>
      <x:c r="V24" s="43"/>
      <x:c r="W24" s="43"/>
      <x:c r="X24" s="43"/>
      <x:c r="Y24" s="43"/>
      <x:c r="Z24" s="43"/>
    </x:row>
    <x:row r="25">
      <x:c r="A25" s="45" t="n">
        <x:v>22</x:v>
      </x:c>
      <x:c r="B25" s="45" t="str">
        <x:v>LINE_22</x:v>
      </x:c>
      <x:c r="C25" s="45" t="str">
        <x:v>الخط السادس المكمل للسان العمق الثاني العلوي</x:v>
      </x:c>
      <x:c r="D25" s="45" t="str">
        <x:v>لسان العمق الثاني العلوي</x:v>
      </x:c>
      <x:c r="E25" s="45" t="str">
        <x:v>Straight Line</x:v>
      </x:c>
      <x:c r="F25" s="45" t="str">
        <x:v>نهاية Segment 21</x:v>
      </x:c>
      <x:c r="G25" s="45" t="str"/>
      <x:c r="H25" s="45" t="str">
        <x:v>رأسي</x:v>
      </x:c>
      <x:c r="I25" s="45" t="str">
        <x:v>Down</x:v>
      </x:c>
      <x:c r="J25" s="45" t="str">
        <x:v>Vertical height same as Segment 4</x:v>
      </x:c>
      <x:c r="K25" s="54" t="n">
        <x:f>Inputs!$B$23</x:f>
        <x:v>5</x:v>
      </x:c>
      <x:c r="L25" s="45" t="str">
        <x:v>Variable by Segment 4</x:v>
      </x:c>
      <x:c r="M25" s="45" t="str">
        <x:v>Segment 21 + Segment 4</x:v>
      </x:c>
      <x:c r="N25" s="45" t="str"/>
      <x:c r="O25" s="45" t="str">
        <x:v>Up</x:v>
      </x:c>
      <x:c r="P25" s="45" t="n">
        <x:v>543.33472</x:v>
      </x:c>
      <x:c r="Q25" s="45" t="n">
        <x:v>153.57086</x:v>
      </x:c>
      <x:c r="R25" s="45" t="n">
        <x:v>543.33472</x:v>
      </x:c>
      <x:c r="S25" s="45" t="n">
        <x:v>139.39764</x:v>
      </x:c>
      <x:c r="T25" s="45" t="str"/>
      <x:c r="U25" s="43"/>
      <x:c r="V25" s="43"/>
      <x:c r="W25" s="43"/>
      <x:c r="X25" s="43"/>
      <x:c r="Y25" s="43"/>
      <x:c r="Z25" s="43"/>
    </x:row>
    <x:row r="26">
      <x:c r="A26" s="45" t="n">
        <x:v>23</x:v>
      </x:c>
      <x:c r="B26" s="45" t="str">
        <x:v>LINE_23</x:v>
      </x:c>
      <x:c r="C26" s="45" t="str">
        <x:v>الخط الأيمن للعمق الثاني</x:v>
      </x:c>
      <x:c r="D26" s="45" t="str">
        <x:v>العمق الثاني</x:v>
      </x:c>
      <x:c r="E26" s="45" t="str">
        <x:v>Straight Line</x:v>
      </x:c>
      <x:c r="F26" s="45" t="str">
        <x:v>نهاية Segment 22</x:v>
      </x:c>
      <x:c r="G26" s="45" t="str"/>
      <x:c r="H26" s="45" t="str">
        <x:v>رأسي</x:v>
      </x:c>
      <x:c r="I26" s="45" t="str">
        <x:v>Down</x:v>
      </x:c>
      <x:c r="J26" s="45" t="str">
        <x:v>Height = Height</x:v>
      </x:c>
      <x:c r="K26" s="54" t="n">
        <x:f>Inputs!$B$6</x:f>
        <x:v>200</x:v>
      </x:c>
      <x:c r="L26" s="45" t="str">
        <x:v>Variable</x:v>
      </x:c>
      <x:c r="M26" s="45" t="str">
        <x:v>الارتفاع</x:v>
      </x:c>
      <x:c r="N26" s="45" t="str"/>
      <x:c r="O26" s="45" t="str">
        <x:v>Up</x:v>
      </x:c>
      <x:c r="P26" s="45" t="n">
        <x:v>543.33472</x:v>
      </x:c>
      <x:c r="Q26" s="45" t="n">
        <x:v>522.07477</x:v>
      </x:c>
      <x:c r="R26" s="45" t="n">
        <x:v>543.33472</x:v>
      </x:c>
      <x:c r="S26" s="45" t="n">
        <x:v>153.57086</x:v>
      </x:c>
      <x:c r="T26" s="45" t="str"/>
      <x:c r="U26" s="43"/>
      <x:c r="V26" s="43"/>
      <x:c r="W26" s="43"/>
      <x:c r="X26" s="43"/>
      <x:c r="Y26" s="43"/>
      <x:c r="Z26" s="43"/>
    </x:row>
    <x:row r="27">
      <x:c r="A27" s="45" t="n">
        <x:v>24</x:v>
      </x:c>
      <x:c r="B27" s="45" t="str">
        <x:v>LINE_24</x:v>
      </x:c>
      <x:c r="C27" s="45" t="str">
        <x:v>الخط الأول للسان العمق الثاني السفلي</x:v>
      </x:c>
      <x:c r="D27" s="45" t="str">
        <x:v>لسان العمق الثاني السفلي</x:v>
      </x:c>
      <x:c r="E27" s="45" t="str">
        <x:v>Angled Line</x:v>
      </x:c>
      <x:c r="F27" s="45" t="str">
        <x:v>نهاية Segment 23</x:v>
      </x:c>
      <x:c r="G27" s="45" t="str"/>
      <x:c r="H27" s="45" t="str">
        <x:v>مائل</x:v>
      </x:c>
      <x:c r="I27" s="45" t="str">
        <x:v>Down-Left</x:v>
      </x:c>
      <x:c r="J27" s="45" t="str">
        <x:v>Height=3mm; Angle=45°</x:v>
      </x:c>
      <x:c r="K27" s="54" t="n">
        <x:f>3</x:f>
        <x:v>3</x:v>
      </x:c>
      <x:c r="L27" s="45" t="str">
        <x:v>Fixed</x:v>
      </x:c>
      <x:c r="M27" s="45" t="str">
        <x:v>نهاية Segment 23</x:v>
      </x:c>
      <x:c r="N27" s="45" t="str"/>
      <x:c r="O27" s="45" t="str">
        <x:v>Up-Right</x:v>
      </x:c>
      <x:c r="P27" s="45" t="n">
        <x:v>534.83069</x:v>
      </x:c>
      <x:c r="Q27" s="45" t="n">
        <x:v>530.57874</x:v>
      </x:c>
      <x:c r="R27" s="45" t="n">
        <x:v>543.33472</x:v>
      </x:c>
      <x:c r="S27" s="45" t="n">
        <x:v>522.07477</x:v>
      </x:c>
      <x:c r="T27" s="45" t="str"/>
      <x:c r="U27" s="43"/>
      <x:c r="V27" s="43"/>
      <x:c r="W27" s="43"/>
      <x:c r="X27" s="43"/>
      <x:c r="Y27" s="43"/>
      <x:c r="Z27" s="43"/>
    </x:row>
    <x:row r="28">
      <x:c r="A28" s="45" t="n">
        <x:v>25</x:v>
      </x:c>
      <x:c r="B28" s="45" t="str">
        <x:v>LINE_25</x:v>
      </x:c>
      <x:c r="C28" s="45" t="str">
        <x:v>الخط الثاني المكمل للسان العمق الثاني السفلي</x:v>
      </x:c>
      <x:c r="D28" s="45" t="str">
        <x:v>لسان العمق الثاني السفلي</x:v>
      </x:c>
      <x:c r="E28" s="45" t="str">
        <x:v>Angled Line</x:v>
      </x:c>
      <x:c r="F28" s="45" t="str">
        <x:v>نهاية Segment 24</x:v>
      </x:c>
      <x:c r="G28" s="45" t="str"/>
      <x:c r="H28" s="45" t="str">
        <x:v>مائل</x:v>
      </x:c>
      <x:c r="I28" s="45" t="str">
        <x:v>Down-Left</x:v>
      </x:c>
      <x:c r="J28" s="45" t="str">
        <x:v>Angle=30°; vertical height same as Segment18; right template end gap=5mm</x:v>
      </x:c>
      <x:c r="K28" s="54" t="str"/>
      <x:c r="L28" s="45" t="str">
        <x:v>Variable / Fixed Angle</x:v>
      </x:c>
      <x:c r="M28" s="45" t="str">
        <x:v>Segment 24 + Segment 18 + right template end</x:v>
      </x:c>
      <x:c r="N28" s="45" t="str"/>
      <x:c r="O28" s="45" t="str">
        <x:v>Up-Right</x:v>
      </x:c>
      <x:c r="P28" s="45" t="n">
        <x:v>529.1615</x:v>
      </x:c>
      <x:c r="Q28" s="45" t="n">
        <x:v>598.61023</x:v>
      </x:c>
      <x:c r="R28" s="45" t="n">
        <x:v>534.83069</x:v>
      </x:c>
      <x:c r="S28" s="45" t="n">
        <x:v>530.57874</x:v>
      </x:c>
      <x:c r="T28" s="45" t="str"/>
      <x:c r="U28" s="43"/>
      <x:c r="V28" s="43"/>
      <x:c r="W28" s="43"/>
      <x:c r="X28" s="43"/>
      <x:c r="Y28" s="43"/>
      <x:c r="Z28" s="43"/>
    </x:row>
    <x:row r="29">
      <x:c r="A29" s="45" t="n">
        <x:v>26</x:v>
      </x:c>
      <x:c r="B29" s="45" t="str">
        <x:v>LINE_26</x:v>
      </x:c>
      <x:c r="C29" s="45" t="str">
        <x:v>الخط الثالث المكمل للسان العمق الثاني السفلي</x:v>
      </x:c>
      <x:c r="D29" s="45" t="str">
        <x:v>لسان العمق الثاني السفلي</x:v>
      </x:c>
      <x:c r="E29" s="45" t="str">
        <x:v>Straight Line</x:v>
      </x:c>
      <x:c r="F29" s="45" t="str">
        <x:v>نهاية Segment 25</x:v>
      </x:c>
      <x:c r="G29" s="45" t="str"/>
      <x:c r="H29" s="45" t="str">
        <x:v>أفقي</x:v>
      </x:c>
      <x:c r="I29" s="45" t="str">
        <x:v>Left</x:v>
      </x:c>
      <x:c r="J29" s="45" t="str">
        <x:v>Length = Length(Segment 19) - 0.75mm</x:v>
      </x:c>
      <x:c r="K29" s="54" t="str"/>
      <x:c r="L29" s="45" t="str">
        <x:v>Variable</x:v>
      </x:c>
      <x:c r="M29" s="45" t="str">
        <x:v>Segment 25 + Segment 19</x:v>
      </x:c>
      <x:c r="N29" s="45" t="str"/>
      <x:c r="O29" s="45" t="str">
        <x:v>Right</x:v>
      </x:c>
      <x:c r="P29" s="45" t="n">
        <x:v>454.35229</x:v>
      </x:c>
      <x:c r="Q29" s="45" t="n">
        <x:v>598.61023</x:v>
      </x:c>
      <x:c r="R29" s="45" t="n">
        <x:v>529.1615</x:v>
      </x:c>
      <x:c r="S29" s="45" t="n">
        <x:v>598.61023</x:v>
      </x:c>
      <x:c r="T29" s="45" t="str"/>
      <x:c r="U29" s="43"/>
      <x:c r="V29" s="43"/>
      <x:c r="W29" s="43"/>
      <x:c r="X29" s="43"/>
      <x:c r="Y29" s="43"/>
      <x:c r="Z29" s="43"/>
    </x:row>
    <x:row r="30">
      <x:c r="A30" s="45" t="n">
        <x:v>27</x:v>
      </x:c>
      <x:c r="B30" s="45" t="str">
        <x:v>LINE_27</x:v>
      </x:c>
      <x:c r="C30" s="45" t="str">
        <x:v>الخط الرابع المكمل للسان العمق الثاني السفلي</x:v>
      </x:c>
      <x:c r="D30" s="45" t="str">
        <x:v>لسان العمق الثاني السفلي</x:v>
      </x:c>
      <x:c r="E30" s="45" t="str">
        <x:v>Angled Line</x:v>
      </x:c>
      <x:c r="F30" s="45" t="str">
        <x:v>نهاية Segment 26</x:v>
      </x:c>
      <x:c r="G30" s="45" t="str"/>
      <x:c r="H30" s="45" t="str">
        <x:v>مائل</x:v>
      </x:c>
      <x:c r="I30" s="45" t="str">
        <x:v>Up-Left</x:v>
      </x:c>
      <x:c r="J30" s="45" t="str">
        <x:v>Angle=30°; vertical height same as Segment20</x:v>
      </x:c>
      <x:c r="K30" s="54" t="str"/>
      <x:c r="L30" s="45" t="str">
        <x:v>Variable / Fixed Angle</x:v>
      </x:c>
      <x:c r="M30" s="45" t="str">
        <x:v>Segment 26 + Segment 20</x:v>
      </x:c>
      <x:c r="N30" s="45" t="str"/>
      <x:c r="O30" s="45" t="str">
        <x:v>Down-Right</x:v>
      </x:c>
      <x:c r="P30" s="45" t="n">
        <x:v>439.1615</x:v>
      </x:c>
      <x:c r="Q30" s="45" t="n">
        <x:v>541.9173</x:v>
      </x:c>
      <x:c r="R30" s="45" t="n">
        <x:v>454.35229</x:v>
      </x:c>
      <x:c r="S30" s="45" t="n">
        <x:v>598.61023</x:v>
      </x:c>
      <x:c r="T30" s="45" t="str"/>
      <x:c r="U30" s="43"/>
      <x:c r="V30" s="43"/>
      <x:c r="W30" s="43"/>
      <x:c r="X30" s="43"/>
      <x:c r="Y30" s="43"/>
      <x:c r="Z30" s="43"/>
    </x:row>
    <x:row r="31">
      <x:c r="A31" s="45" t="n">
        <x:v>28</x:v>
      </x:c>
      <x:c r="B31" s="45" t="str">
        <x:v>LINE_28</x:v>
      </x:c>
      <x:c r="C31" s="45" t="str">
        <x:v>الخط الخامس المكمل للسان العمق الثاني السفلي</x:v>
      </x:c>
      <x:c r="D31" s="45" t="str">
        <x:v>لسان العمق الثاني السفلي</x:v>
      </x:c>
      <x:c r="E31" s="45" t="str">
        <x:v>Angled Line</x:v>
      </x:c>
      <x:c r="F31" s="45" t="str">
        <x:v>نهاية Segment 27</x:v>
      </x:c>
      <x:c r="G31" s="45" t="str"/>
      <x:c r="H31" s="45" t="str">
        <x:v>مائل</x:v>
      </x:c>
      <x:c r="I31" s="45" t="str">
        <x:v>Up-Left</x:v>
      </x:c>
      <x:c r="J31" s="45" t="str">
        <x:v>Height=2mm; Angle=45°</x:v>
      </x:c>
      <x:c r="K31" s="54" t="n">
        <x:f>2</x:f>
        <x:v>2</x:v>
      </x:c>
      <x:c r="L31" s="45" t="str">
        <x:v>Fixed</x:v>
      </x:c>
      <x:c r="M31" s="45" t="str">
        <x:v>نهاية Segment 27</x:v>
      </x:c>
      <x:c r="N31" s="45" t="str"/>
      <x:c r="O31" s="45" t="str">
        <x:v>Down-Right</x:v>
      </x:c>
      <x:c r="P31" s="45" t="n">
        <x:v>433.49219</x:v>
      </x:c>
      <x:c r="Q31" s="45" t="n">
        <x:v>536.24799</x:v>
      </x:c>
      <x:c r="R31" s="45" t="n">
        <x:v>439.1615</x:v>
      </x:c>
      <x:c r="S31" s="45" t="n">
        <x:v>541.9173</x:v>
      </x:c>
      <x:c r="T31" s="45" t="str"/>
      <x:c r="U31" s="43"/>
      <x:c r="V31" s="43"/>
      <x:c r="W31" s="43"/>
      <x:c r="X31" s="43"/>
      <x:c r="Y31" s="43"/>
      <x:c r="Z31" s="43"/>
    </x:row>
    <x:row r="32">
      <x:c r="A32" s="45" t="n">
        <x:v>29</x:v>
      </x:c>
      <x:c r="B32" s="45" t="str">
        <x:v>LINE_29</x:v>
      </x:c>
      <x:c r="C32" s="45" t="str">
        <x:v>الخط السادس المكمل للسان العمق الثاني السفلي</x:v>
      </x:c>
      <x:c r="D32" s="45" t="str">
        <x:v>لسان العمق الثاني السفلي</x:v>
      </x:c>
      <x:c r="E32" s="45" t="str">
        <x:v>Straight Line</x:v>
      </x:c>
      <x:c r="F32" s="45" t="str">
        <x:v>نهاية Segment 28</x:v>
      </x:c>
      <x:c r="G32" s="45" t="str"/>
      <x:c r="H32" s="45" t="str">
        <x:v>رأسي</x:v>
      </x:c>
      <x:c r="I32" s="45" t="str">
        <x:v>Down</x:v>
      </x:c>
      <x:c r="J32" s="45" t="str">
        <x:v>Height=5mm</x:v>
      </x:c>
      <x:c r="K32" s="54" t="n">
        <x:f>5</x:f>
        <x:v>5</x:v>
      </x:c>
      <x:c r="L32" s="45" t="str">
        <x:v>Fixed</x:v>
      </x:c>
      <x:c r="M32" s="45" t="str">
        <x:v>نهاية Segment 28</x:v>
      </x:c>
      <x:c r="N32" s="45" t="str"/>
      <x:c r="O32" s="45" t="str">
        <x:v>Down</x:v>
      </x:c>
      <x:c r="P32" s="45" t="n">
        <x:v>433.49219</x:v>
      </x:c>
      <x:c r="Q32" s="45" t="n">
        <x:v>522.07477</x:v>
      </x:c>
      <x:c r="R32" s="45" t="n">
        <x:v>433.49219</x:v>
      </x:c>
      <x:c r="S32" s="45" t="n">
        <x:v>536.24799</x:v>
      </x:c>
      <x:c r="T32" s="45" t="str"/>
      <x:c r="U32" s="43"/>
      <x:c r="V32" s="43"/>
      <x:c r="W32" s="43"/>
      <x:c r="X32" s="43"/>
      <x:c r="Y32" s="43"/>
      <x:c r="Z32" s="43"/>
    </x:row>
    <x:row r="33">
      <x:c r="A33" s="45" t="n">
        <x:v>30</x:v>
      </x:c>
      <x:c r="B33" s="45" t="str">
        <x:v>LINE_30</x:v>
      </x:c>
      <x:c r="C33" s="45" t="str">
        <x:v>الخط الأول السفلي للعمق الثاني</x:v>
      </x:c>
      <x:c r="D33" s="45" t="str">
        <x:v>العمق الثاني</x:v>
      </x:c>
      <x:c r="E33" s="45" t="str">
        <x:v>Straight Line</x:v>
      </x:c>
      <x:c r="F33" s="45" t="str">
        <x:v>نهاية Segment 29</x:v>
      </x:c>
      <x:c r="G33" s="45" t="str"/>
      <x:c r="H33" s="45" t="str">
        <x:v>أفقي</x:v>
      </x:c>
      <x:c r="I33" s="45" t="str">
        <x:v>Left</x:v>
      </x:c>
      <x:c r="J33" s="45" t="str">
        <x:v>Width=0.75mm</x:v>
      </x:c>
      <x:c r="K33" s="54" t="n">
        <x:f>0.75</x:f>
        <x:v>0.75</x:v>
      </x:c>
      <x:c r="L33" s="45" t="str">
        <x:v>Fixed</x:v>
      </x:c>
      <x:c r="M33" s="45" t="str">
        <x:v>نهاية Segment 29</x:v>
      </x:c>
      <x:c r="N33" s="45" t="str"/>
      <x:c r="O33" s="45" t="str">
        <x:v>Right</x:v>
      </x:c>
      <x:c r="P33" s="45" t="n">
        <x:v>431.36621</x:v>
      </x:c>
      <x:c r="Q33" s="45" t="n">
        <x:v>522.07477</x:v>
      </x:c>
      <x:c r="R33" s="45" t="n">
        <x:v>433.49219</x:v>
      </x:c>
      <x:c r="S33" s="45" t="n">
        <x:v>522.07477</x:v>
      </x:c>
      <x:c r="T33" s="45" t="str"/>
      <x:c r="U33" s="43"/>
      <x:c r="V33" s="43"/>
      <x:c r="W33" s="43"/>
      <x:c r="X33" s="43"/>
      <x:c r="Y33" s="43"/>
      <x:c r="Z33" s="43"/>
    </x:row>
    <x:row r="34">
      <x:c r="A34" s="45" t="n">
        <x:v>31</x:v>
      </x:c>
      <x:c r="B34" s="45" t="str">
        <x:v>LINE_31</x:v>
      </x:c>
      <x:c r="C34" s="45" t="str">
        <x:v>الخط السفلي للواجهة الثانية</x:v>
      </x:c>
      <x:c r="D34" s="45" t="str">
        <x:v>الواجهة الثانية</x:v>
      </x:c>
      <x:c r="E34" s="45" t="str">
        <x:v>Straight Line</x:v>
      </x:c>
      <x:c r="F34" s="45" t="str">
        <x:v>نهاية Segment 30</x:v>
      </x:c>
      <x:c r="G34" s="45" t="str"/>
      <x:c r="H34" s="45" t="str">
        <x:v>أفقي</x:v>
      </x:c>
      <x:c r="I34" s="45" t="str">
        <x:v>Left</x:v>
      </x:c>
      <x:c r="J34" s="45" t="str">
        <x:v>Length = Face 2 Width = Width</x:v>
      </x:c>
      <x:c r="K34" s="54" t="n">
        <x:f>Inputs!$B$5</x:f>
        <x:v>200</x:v>
      </x:c>
      <x:c r="L34" s="45" t="str">
        <x:v>Variable</x:v>
      </x:c>
      <x:c r="M34" s="45" t="str">
        <x:v>العرض</x:v>
      </x:c>
      <x:c r="N34" s="45" t="str"/>
      <x:c r="O34" s="45" t="str">
        <x:v>Right</x:v>
      </x:c>
      <x:c r="P34" s="45" t="n">
        <x:v>289.63391</x:v>
      </x:c>
      <x:c r="Q34" s="45" t="n">
        <x:v>522.07477</x:v>
      </x:c>
      <x:c r="R34" s="45" t="n">
        <x:v>431.36621</x:v>
      </x:c>
      <x:c r="S34" s="45" t="n">
        <x:v>522.07477</x:v>
      </x:c>
      <x:c r="T34" s="45" t="str"/>
      <x:c r="U34" s="43"/>
      <x:c r="V34" s="43"/>
      <x:c r="W34" s="43"/>
      <x:c r="X34" s="43"/>
      <x:c r="Y34" s="43"/>
      <x:c r="Z34" s="43"/>
    </x:row>
    <x:row r="35">
      <x:c r="A35" s="45" t="n">
        <x:v>32</x:v>
      </x:c>
      <x:c r="B35" s="45" t="str">
        <x:v>LINE_32</x:v>
      </x:c>
      <x:c r="C35" s="45" t="str">
        <x:v>الخط الثاني السفلي للعمق الأول</x:v>
      </x:c>
      <x:c r="D35" s="45" t="str">
        <x:v>العمق الأول</x:v>
      </x:c>
      <x:c r="E35" s="45" t="str">
        <x:v>Straight Line</x:v>
      </x:c>
      <x:c r="F35" s="45" t="str">
        <x:v>نهاية Segment 31</x:v>
      </x:c>
      <x:c r="G35" s="45" t="str"/>
      <x:c r="H35" s="45" t="str">
        <x:v>أفقي</x:v>
      </x:c>
      <x:c r="I35" s="45" t="str">
        <x:v>Left</x:v>
      </x:c>
      <x:c r="J35" s="45" t="str">
        <x:v>Width=0.75mm</x:v>
      </x:c>
      <x:c r="K35" s="54" t="n">
        <x:f>0.75</x:f>
        <x:v>0.75</x:v>
      </x:c>
      <x:c r="L35" s="45" t="str">
        <x:v>Fixed</x:v>
      </x:c>
      <x:c r="M35" s="45" t="str">
        <x:v>نهاية Segment 31</x:v>
      </x:c>
      <x:c r="N35" s="45" t="str"/>
      <x:c r="O35" s="45" t="str">
        <x:v>Right</x:v>
      </x:c>
      <x:c r="P35" s="45" t="n">
        <x:v>287.50793</x:v>
      </x:c>
      <x:c r="Q35" s="45" t="n">
        <x:v>522.07477</x:v>
      </x:c>
      <x:c r="R35" s="45" t="n">
        <x:v>289.63391</x:v>
      </x:c>
      <x:c r="S35" s="45" t="n">
        <x:v>522.07477</x:v>
      </x:c>
      <x:c r="T35" s="45" t="str"/>
      <x:c r="U35" s="43"/>
      <x:c r="V35" s="43"/>
      <x:c r="W35" s="43"/>
      <x:c r="X35" s="43"/>
      <x:c r="Y35" s="43"/>
      <x:c r="Z35" s="43"/>
    </x:row>
    <x:row r="36">
      <x:c r="A36" s="45" t="n">
        <x:v>33</x:v>
      </x:c>
      <x:c r="B36" s="45" t="str">
        <x:v>LINE_33</x:v>
      </x:c>
      <x:c r="C36" s="45" t="str">
        <x:v>الخط الأول للسان العمق الأول السفلي</x:v>
      </x:c>
      <x:c r="D36" s="45" t="str">
        <x:v>لسان العمق الأول السفلي</x:v>
      </x:c>
      <x:c r="E36" s="45" t="str">
        <x:v>Straight Line</x:v>
      </x:c>
      <x:c r="F36" s="45" t="str">
        <x:v>نهاية Segment 32</x:v>
      </x:c>
      <x:c r="G36" s="45" t="str"/>
      <x:c r="H36" s="45" t="str">
        <x:v>رأسي</x:v>
      </x:c>
      <x:c r="I36" s="45" t="str">
        <x:v>Down</x:v>
      </x:c>
      <x:c r="J36" s="45" t="str">
        <x:v>Height=5mm</x:v>
      </x:c>
      <x:c r="K36" s="54" t="n">
        <x:f>5</x:f>
        <x:v>5</x:v>
      </x:c>
      <x:c r="L36" s="45" t="str">
        <x:v>Fixed</x:v>
      </x:c>
      <x:c r="M36" s="45" t="str">
        <x:v>نهاية Segment 32</x:v>
      </x:c>
      <x:c r="N36" s="45" t="str"/>
      <x:c r="O36" s="45" t="str">
        <x:v>Up</x:v>
      </x:c>
      <x:c r="P36" s="45" t="n">
        <x:v>287.50793</x:v>
      </x:c>
      <x:c r="Q36" s="45" t="n">
        <x:v>536.24799</x:v>
      </x:c>
      <x:c r="R36" s="45" t="n">
        <x:v>287.50793</x:v>
      </x:c>
      <x:c r="S36" s="45" t="n">
        <x:v>522.07477</x:v>
      </x:c>
      <x:c r="T36" s="45" t="str"/>
      <x:c r="U36" s="43"/>
      <x:c r="V36" s="43"/>
      <x:c r="W36" s="43"/>
      <x:c r="X36" s="43"/>
      <x:c r="Y36" s="43"/>
      <x:c r="Z36" s="43"/>
    </x:row>
    <x:row r="37">
      <x:c r="A37" s="45" t="n">
        <x:v>34</x:v>
      </x:c>
      <x:c r="B37" s="45" t="str">
        <x:v>LINE_34</x:v>
      </x:c>
      <x:c r="C37" s="45" t="str">
        <x:v>الخط الثاني المكمل للسان العمق الأول السفلي</x:v>
      </x:c>
      <x:c r="D37" s="45" t="str">
        <x:v>لسان العمق الأول السفلي</x:v>
      </x:c>
      <x:c r="E37" s="45" t="str">
        <x:v>Angled Line</x:v>
      </x:c>
      <x:c r="F37" s="45" t="str">
        <x:v>نهاية Segment 33</x:v>
      </x:c>
      <x:c r="G37" s="45" t="str"/>
      <x:c r="H37" s="45" t="str">
        <x:v>مائل</x:v>
      </x:c>
      <x:c r="I37" s="45" t="str">
        <x:v>Down-Left</x:v>
      </x:c>
      <x:c r="J37" s="45" t="str">
        <x:v>Height=2mm; Angle=45°</x:v>
      </x:c>
      <x:c r="K37" s="54" t="n">
        <x:f>2</x:f>
        <x:v>2</x:v>
      </x:c>
      <x:c r="L37" s="45" t="str">
        <x:v>Fixed</x:v>
      </x:c>
      <x:c r="M37" s="45" t="str">
        <x:v>نهاية Segment 33</x:v>
      </x:c>
      <x:c r="N37" s="45" t="str"/>
      <x:c r="O37" s="45" t="str">
        <x:v>Up-Right</x:v>
      </x:c>
      <x:c r="P37" s="45" t="n">
        <x:v>281.83862</x:v>
      </x:c>
      <x:c r="Q37" s="45" t="n">
        <x:v>541.9173</x:v>
      </x:c>
      <x:c r="R37" s="45" t="n">
        <x:v>287.50793</x:v>
      </x:c>
      <x:c r="S37" s="45" t="n">
        <x:v>536.24799</x:v>
      </x:c>
      <x:c r="T37" s="45" t="str"/>
      <x:c r="U37" s="43"/>
      <x:c r="V37" s="43"/>
      <x:c r="W37" s="43"/>
      <x:c r="X37" s="43"/>
      <x:c r="Y37" s="43"/>
      <x:c r="Z37" s="43"/>
    </x:row>
    <x:row r="38">
      <x:c r="A38" s="45" t="n">
        <x:v>35</x:v>
      </x:c>
      <x:c r="B38" s="45" t="str">
        <x:v>LINE_35</x:v>
      </x:c>
      <x:c r="C38" s="45" t="str">
        <x:v>الخط الثالث للسان العمق الأول السفلي</x:v>
      </x:c>
      <x:c r="D38" s="45" t="str">
        <x:v>لسان العمق الأول السفلي</x:v>
      </x:c>
      <x:c r="E38" s="45" t="str">
        <x:v>Angled Line</x:v>
      </x:c>
      <x:c r="F38" s="45" t="str">
        <x:v>نهاية Segment 34</x:v>
      </x:c>
      <x:c r="G38" s="45" t="str"/>
      <x:c r="H38" s="45" t="str">
        <x:v>مائل</x:v>
      </x:c>
      <x:c r="I38" s="45" t="str">
        <x:v>Down-Left</x:v>
      </x:c>
      <x:c r="J38" s="45" t="str">
        <x:v>Angle=30°; vertical height same as Segment27</x:v>
      </x:c>
      <x:c r="K38" s="54" t="str"/>
      <x:c r="L38" s="45" t="str">
        <x:v>Variable / Fixed Angle</x:v>
      </x:c>
      <x:c r="M38" s="45" t="str">
        <x:v>Segment 34 + Segment 27</x:v>
      </x:c>
      <x:c r="N38" s="45" t="str"/>
      <x:c r="O38" s="45" t="str">
        <x:v>Up-Right</x:v>
      </x:c>
      <x:c r="P38" s="45" t="n">
        <x:v>266.64783</x:v>
      </x:c>
      <x:c r="Q38" s="45" t="n">
        <x:v>598.61023</x:v>
      </x:c>
      <x:c r="R38" s="45" t="n">
        <x:v>281.83862</x:v>
      </x:c>
      <x:c r="S38" s="45" t="n">
        <x:v>541.9173</x:v>
      </x:c>
      <x:c r="T38" s="45" t="str"/>
      <x:c r="U38" s="43"/>
      <x:c r="V38" s="43"/>
      <x:c r="W38" s="43"/>
      <x:c r="X38" s="43"/>
      <x:c r="Y38" s="43"/>
      <x:c r="Z38" s="43"/>
    </x:row>
    <x:row r="39">
      <x:c r="A39" s="45" t="n">
        <x:v>36</x:v>
      </x:c>
      <x:c r="B39" s="45" t="str">
        <x:v>LINE_36</x:v>
      </x:c>
      <x:c r="C39" s="45" t="str">
        <x:v>الخط الرابع للسان العمق الأول السفلي</x:v>
      </x:c>
      <x:c r="D39" s="45" t="str">
        <x:v>لسان العمق الأول السفلي</x:v>
      </x:c>
      <x:c r="E39" s="45" t="str">
        <x:v>Straight Line</x:v>
      </x:c>
      <x:c r="F39" s="45" t="str">
        <x:v>نهاية Segment 35</x:v>
      </x:c>
      <x:c r="G39" s="45" t="str"/>
      <x:c r="H39" s="45" t="str">
        <x:v>أفقي</x:v>
      </x:c>
      <x:c r="I39" s="45" t="str">
        <x:v>Left</x:v>
      </x:c>
      <x:c r="J39" s="45" t="str">
        <x:v>Length = Length(Segment 7)</x:v>
      </x:c>
      <x:c r="K39" s="54" t="str"/>
      <x:c r="L39" s="45" t="str">
        <x:v>Variable</x:v>
      </x:c>
      <x:c r="M39" s="45" t="str">
        <x:v>Segment 35 + Segment 7</x:v>
      </x:c>
      <x:c r="N39" s="45" t="str"/>
      <x:c r="O39" s="45" t="str">
        <x:v>Right</x:v>
      </x:c>
      <x:c r="P39" s="45" t="n">
        <x:v>190.42133</x:v>
      </x:c>
      <x:c r="Q39" s="45" t="n">
        <x:v>598.61023</x:v>
      </x:c>
      <x:c r="R39" s="45" t="n">
        <x:v>266.64783</x:v>
      </x:c>
      <x:c r="S39" s="45" t="n">
        <x:v>598.61023</x:v>
      </x:c>
      <x:c r="T39" s="45" t="str"/>
      <x:c r="U39" s="43"/>
      <x:c r="V39" s="43"/>
      <x:c r="W39" s="43"/>
      <x:c r="X39" s="43"/>
      <x:c r="Y39" s="43"/>
      <x:c r="Z39" s="43"/>
    </x:row>
    <x:row r="40">
      <x:c r="A40" s="45" t="n">
        <x:v>37</x:v>
      </x:c>
      <x:c r="B40" s="45" t="str">
        <x:v>LINE_37</x:v>
      </x:c>
      <x:c r="C40" s="45" t="str">
        <x:v>الخط الخامس للسان العمق الأول السفلي</x:v>
      </x:c>
      <x:c r="D40" s="45" t="str">
        <x:v>لسان العمق الأول السفلي</x:v>
      </x:c>
      <x:c r="E40" s="45" t="str">
        <x:v>Angled Line</x:v>
      </x:c>
      <x:c r="F40" s="45" t="str">
        <x:v>نهاية Segment 36</x:v>
      </x:c>
      <x:c r="G40" s="45" t="str"/>
      <x:c r="H40" s="45" t="str">
        <x:v>مائل</x:v>
      </x:c>
      <x:c r="I40" s="45" t="str">
        <x:v>Up-Left</x:v>
      </x:c>
      <x:c r="J40" s="45" t="str">
        <x:v>Angle=30°; vertical height same as Segment8</x:v>
      </x:c>
      <x:c r="K40" s="54" t="str"/>
      <x:c r="L40" s="45" t="str">
        <x:v>Variable / Fixed Angle</x:v>
      </x:c>
      <x:c r="M40" s="45" t="str">
        <x:v>Segment 36 + Segment 8</x:v>
      </x:c>
      <x:c r="N40" s="45" t="str"/>
      <x:c r="O40" s="45" t="str">
        <x:v>Down-Right</x:v>
      </x:c>
      <x:c r="P40" s="45" t="n">
        <x:v>184.75201</x:v>
      </x:c>
      <x:c r="Q40" s="45" t="n">
        <x:v>530.57874</x:v>
      </x:c>
      <x:c r="R40" s="45" t="n">
        <x:v>190.42133</x:v>
      </x:c>
      <x:c r="S40" s="45" t="n">
        <x:v>598.61023</x:v>
      </x:c>
      <x:c r="T40" s="45" t="str"/>
      <x:c r="U40" s="43"/>
      <x:c r="V40" s="43"/>
      <x:c r="W40" s="43"/>
      <x:c r="X40" s="43"/>
      <x:c r="Y40" s="43"/>
      <x:c r="Z40" s="43"/>
    </x:row>
    <x:row r="41">
      <x:c r="A41" s="45" t="n">
        <x:v>38</x:v>
      </x:c>
      <x:c r="B41" s="45" t="str">
        <x:v>LINE_38</x:v>
      </x:c>
      <x:c r="C41" s="45" t="str">
        <x:v>الخط السادس للسان العمق الأول السفلي</x:v>
      </x:c>
      <x:c r="D41" s="45" t="str">
        <x:v>لسان العمق الأول السفلي</x:v>
      </x:c>
      <x:c r="E41" s="45" t="str">
        <x:v>Angled Line</x:v>
      </x:c>
      <x:c r="F41" s="45" t="str">
        <x:v>نهاية Segment 37</x:v>
      </x:c>
      <x:c r="G41" s="45" t="str"/>
      <x:c r="H41" s="45" t="str">
        <x:v>مائل</x:v>
      </x:c>
      <x:c r="I41" s="45" t="str">
        <x:v>Up-Left</x:v>
      </x:c>
      <x:c r="J41" s="45" t="str">
        <x:v>Height=3mm; Angle=45°</x:v>
      </x:c>
      <x:c r="K41" s="54" t="n">
        <x:f>3</x:f>
        <x:v>3</x:v>
      </x:c>
      <x:c r="L41" s="45" t="str">
        <x:v>Fixed</x:v>
      </x:c>
      <x:c r="M41" s="45" t="str">
        <x:v>نهاية Segment 37</x:v>
      </x:c>
      <x:c r="N41" s="45" t="str"/>
      <x:c r="O41" s="45" t="str">
        <x:v>Down-Right</x:v>
      </x:c>
      <x:c r="P41" s="45" t="n">
        <x:v>176.24811</x:v>
      </x:c>
      <x:c r="Q41" s="45" t="n">
        <x:v>522.07477</x:v>
      </x:c>
      <x:c r="R41" s="45" t="n">
        <x:v>184.75201</x:v>
      </x:c>
      <x:c r="S41" s="45" t="n">
        <x:v>530.57874</x:v>
      </x:c>
      <x:c r="T41" s="45" t="str"/>
      <x:c r="U41" s="43"/>
      <x:c r="V41" s="43"/>
      <x:c r="W41" s="43"/>
      <x:c r="X41" s="43"/>
      <x:c r="Y41" s="43"/>
      <x:c r="Z41" s="43"/>
    </x:row>
    <x:row r="42">
      <x:c r="A42" s="45" t="n">
        <x:v>39</x:v>
      </x:c>
      <x:c r="B42" s="45" t="str">
        <x:v>LINE_39</x:v>
      </x:c>
      <x:c r="C42" s="45" t="str">
        <x:v>الخط الأيمن للغطاء السفلي</x:v>
      </x:c>
      <x:c r="D42" s="45" t="str">
        <x:v>الغطاء السفلي</x:v>
      </x:c>
      <x:c r="E42" s="45" t="str">
        <x:v>Straight Line</x:v>
      </x:c>
      <x:c r="F42" s="45" t="str">
        <x:v>نهاية Segment 38</x:v>
      </x:c>
      <x:c r="G42" s="45" t="str"/>
      <x:c r="H42" s="45" t="str">
        <x:v>رأسي</x:v>
      </x:c>
      <x:c r="I42" s="45" t="str">
        <x:v>Down</x:v>
      </x:c>
      <x:c r="J42" s="45" t="str">
        <x:v>Height = Height(Segment 10) = Depth - 0.25mm</x:v>
      </x:c>
      <x:c r="K42" s="54" t="n">
        <x:f>Inputs!$B$22</x:f>
        <x:v>49.75</x:v>
      </x:c>
      <x:c r="L42" s="45" t="str">
        <x:v>Variable</x:v>
      </x:c>
      <x:c r="M42" s="45" t="str">
        <x:v>Segment 38 + Segment 10 + العمق</x:v>
      </x:c>
      <x:c r="N42" s="45" t="str">
        <x:v>Segment 10</x:v>
      </x:c>
      <x:c r="O42" s="45" t="str">
        <x:v>Up</x:v>
      </x:c>
      <x:c r="P42" s="45" t="n">
        <x:v>176.24811</x:v>
      </x:c>
      <x:c r="Q42" s="45" t="n">
        <x:v>634.75195</x:v>
      </x:c>
      <x:c r="R42" s="45" t="n">
        <x:v>176.24811</x:v>
      </x:c>
      <x:c r="S42" s="45" t="n">
        <x:v>522.07477</x:v>
      </x:c>
      <x:c r="T42" s="45" t="str"/>
      <x:c r="U42" s="43"/>
      <x:c r="V42" s="43"/>
      <x:c r="W42" s="43"/>
      <x:c r="X42" s="43"/>
      <x:c r="Y42" s="43"/>
      <x:c r="Z42" s="43"/>
    </x:row>
    <x:row r="43">
      <x:c r="A43" s="45" t="n">
        <x:v>40</x:v>
      </x:c>
      <x:c r="B43" s="45" t="str">
        <x:v>LINE_40</x:v>
      </x:c>
      <x:c r="C43" s="45" t="str">
        <x:v>الخط الثاني للغطاء السفلي</x:v>
      </x:c>
      <x:c r="D43" s="45" t="str">
        <x:v>الغطاء السفلي</x:v>
      </x:c>
      <x:c r="E43" s="45" t="str">
        <x:v>Straight Line</x:v>
      </x:c>
      <x:c r="F43" s="45" t="str">
        <x:v>نهاية Segment 39</x:v>
      </x:c>
      <x:c r="G43" s="45" t="str"/>
      <x:c r="H43" s="45" t="str">
        <x:v>أفقي</x:v>
      </x:c>
      <x:c r="I43" s="45" t="str">
        <x:v>Left</x:v>
      </x:c>
      <x:c r="J43" s="45" t="str">
        <x:v>Width=0.5mm</x:v>
      </x:c>
      <x:c r="K43" s="54" t="n">
        <x:f>0.5</x:f>
        <x:v>0.5</x:v>
      </x:c>
      <x:c r="L43" s="45" t="str">
        <x:v>Fixed</x:v>
      </x:c>
      <x:c r="M43" s="45" t="str">
        <x:v>نهاية Segment 39</x:v>
      </x:c>
      <x:c r="N43" s="45" t="str"/>
      <x:c r="O43" s="45" t="str">
        <x:v>Up-Left</x:v>
      </x:c>
      <x:c r="P43" s="45" t="n">
        <x:v>176.24802</x:v>
      </x:c>
      <x:c r="Q43" s="45" t="n">
        <x:v>634.75172</x:v>
      </x:c>
      <x:c r="R43" s="45" t="n">
        <x:v>174.83072</x:v>
      </x:c>
      <x:c r="S43" s="45" t="n">
        <x:v>634.75171</x:v>
      </x:c>
      <x:c r="T43" s="45" t="str"/>
      <x:c r="U43" s="43"/>
      <x:c r="V43" s="43"/>
      <x:c r="W43" s="43"/>
      <x:c r="X43" s="43"/>
      <x:c r="Y43" s="43"/>
      <x:c r="Z43" s="43"/>
    </x:row>
    <x:row r="44">
      <x:c r="A44" s="45" t="n">
        <x:v>41</x:v>
      </x:c>
      <x:c r="B44" s="45" t="str">
        <x:v>LINE_41</x:v>
      </x:c>
      <x:c r="C44" s="45" t="str">
        <x:v>الخط الأول للسان الغطاء السفلي</x:v>
      </x:c>
      <x:c r="D44" s="45" t="str">
        <x:v>لسان الغطاء السفلي</x:v>
      </x:c>
      <x:c r="E44" s="45" t="str">
        <x:v>Mirrored Preserved Bezier Curve</x:v>
      </x:c>
      <x:c r="F44" s="45" t="str">
        <x:v>نهاية Segment 40</x:v>
      </x:c>
      <x:c r="G44" s="45" t="str"/>
      <x:c r="H44" s="45" t="str">
        <x:v>منحنى</x:v>
      </x:c>
      <x:c r="I44" s="45" t="str">
        <x:v>Down</x:v>
      </x:c>
      <x:c r="J44" s="45" t="str">
        <x:v>Same shape/size as Segment14 mirrored top-to-bottom</x:v>
      </x:c>
      <x:c r="K44" s="54" t="n">
        <x:f>Inputs!$B$13</x:f>
        <x:v>14.25</x:v>
      </x:c>
      <x:c r="L44" s="45" t="str">
        <x:v>Fixed Height / Preserved Curve</x:v>
      </x:c>
      <x:c r="M44" s="45" t="str">
        <x:v>Segment 40 + Segment 14</x:v>
      </x:c>
      <x:c r="N44" s="45" t="str">
        <x:v>Segment 14</x:v>
      </x:c>
      <x:c r="O44" s="45" t="str"/>
      <x:c r="P44" s="45"/>
      <x:c r="Q44" s="45"/>
      <x:c r="R44" s="45"/>
      <x:c r="S44" s="45"/>
      <x:c r="T44" s="45" t="str"/>
      <x:c r="U44" s="43"/>
      <x:c r="V44" s="43"/>
      <x:c r="W44" s="43"/>
      <x:c r="X44" s="43"/>
      <x:c r="Y44" s="43"/>
      <x:c r="Z44" s="43"/>
    </x:row>
    <x:row r="45">
      <x:c r="A45" s="45" t="n">
        <x:v>42</x:v>
      </x:c>
      <x:c r="B45" s="45" t="str">
        <x:v>LINE_42</x:v>
      </x:c>
      <x:c r="C45" s="45" t="str">
        <x:v>الخط الثاني للسان الغطاء السفلي</x:v>
      </x:c>
      <x:c r="D45" s="45" t="str">
        <x:v>لسان الغطاء السفلي</x:v>
      </x:c>
      <x:c r="E45" s="45" t="str">
        <x:v>Straight Connector Line</x:v>
      </x:c>
      <x:c r="F45" s="45" t="str">
        <x:v>نهاية Segment 41</x:v>
      </x:c>
      <x:c r="G45" s="45" t="str"/>
      <x:c r="H45" s="45" t="str">
        <x:v>أفقي</x:v>
      </x:c>
      <x:c r="I45" s="45" t="str">
        <x:v>Left</x:v>
      </x:c>
      <x:c r="J45" s="45" t="str">
        <x:v>Length = Length(Segment 13)</x:v>
      </x:c>
      <x:c r="K45" s="54" t="str"/>
      <x:c r="L45" s="45" t="str">
        <x:v>Variable</x:v>
      </x:c>
      <x:c r="M45" s="45" t="str">
        <x:v>Segment 41 + Segment 13</x:v>
      </x:c>
      <x:c r="N45" s="45" t="str">
        <x:v>Segment 13</x:v>
      </x:c>
      <x:c r="O45" s="45" t="str">
        <x:v>Right</x:v>
      </x:c>
      <x:c r="P45" s="45" t="n">
        <x:v>57.84424</x:v>
      </x:c>
      <x:c r="Q45" s="45" t="n">
        <x:v>675.14563</x:v>
      </x:c>
      <x:c r="R45" s="45" t="n">
        <x:v>152.91968</x:v>
      </x:c>
      <x:c r="S45" s="45" t="n">
        <x:v>675.14563</x:v>
      </x:c>
      <x:c r="T45" s="45" t="str"/>
      <x:c r="U45" s="43"/>
      <x:c r="V45" s="43"/>
      <x:c r="W45" s="43"/>
      <x:c r="X45" s="43"/>
      <x:c r="Y45" s="43"/>
      <x:c r="Z45" s="43"/>
    </x:row>
    <x:row r="46">
      <x:c r="A46" s="45" t="n">
        <x:v>43</x:v>
      </x:c>
      <x:c r="B46" s="45" t="str">
        <x:v>LINE_43</x:v>
      </x:c>
      <x:c r="C46" s="45" t="str">
        <x:v>الخط الثالث للسان الغطاء السفلي</x:v>
      </x:c>
      <x:c r="D46" s="45" t="str">
        <x:v>لسان الغطاء السفلي</x:v>
      </x:c>
      <x:c r="E46" s="45" t="str">
        <x:v>Mirrored Preserved Bezier Curve</x:v>
      </x:c>
      <x:c r="F46" s="45" t="str">
        <x:v>نهاية Segment 42</x:v>
      </x:c>
      <x:c r="G46" s="45" t="str"/>
      <x:c r="H46" s="45" t="str">
        <x:v>منحنى</x:v>
      </x:c>
      <x:c r="I46" s="45" t="str">
        <x:v>Up</x:v>
      </x:c>
      <x:c r="J46" s="45" t="str">
        <x:v>Same as Segment41 mirrored right-to-left</x:v>
      </x:c>
      <x:c r="K46" s="54" t="n">
        <x:f>Inputs!$B$13</x:f>
        <x:v>14.25</x:v>
      </x:c>
      <x:c r="L46" s="45" t="str">
        <x:v>Fixed Height / Preserved Curve</x:v>
      </x:c>
      <x:c r="M46" s="45" t="str">
        <x:v>Segment 42 + Segment 41</x:v>
      </x:c>
      <x:c r="N46" s="45" t="str">
        <x:v>Segment 41</x:v>
      </x:c>
      <x:c r="O46" s="45" t="str"/>
      <x:c r="P46" s="45"/>
      <x:c r="Q46" s="45"/>
      <x:c r="R46" s="45"/>
      <x:c r="S46" s="45"/>
      <x:c r="T46" s="45" t="str"/>
      <x:c r="U46" s="43"/>
      <x:c r="V46" s="43"/>
      <x:c r="W46" s="43"/>
      <x:c r="X46" s="43"/>
      <x:c r="Y46" s="43"/>
      <x:c r="Z46" s="43"/>
    </x:row>
    <x:row r="47">
      <x:c r="A47" s="45" t="n">
        <x:v>44</x:v>
      </x:c>
      <x:c r="B47" s="45" t="str">
        <x:v>LINE_44</x:v>
      </x:c>
      <x:c r="C47" s="45" t="str">
        <x:v>الخط الثالث للغطاء السفلي</x:v>
      </x:c>
      <x:c r="D47" s="45" t="str">
        <x:v>الغطاء السفلي</x:v>
      </x:c>
      <x:c r="E47" s="45" t="str">
        <x:v>Straight Line</x:v>
      </x:c>
      <x:c r="F47" s="45" t="str">
        <x:v>نهاية Segment 43</x:v>
      </x:c>
      <x:c r="G47" s="45" t="str"/>
      <x:c r="H47" s="45" t="str">
        <x:v>أفقي</x:v>
      </x:c>
      <x:c r="I47" s="45" t="str">
        <x:v>Left</x:v>
      </x:c>
      <x:c r="J47" s="45" t="str">
        <x:v>Width=0.5mm</x:v>
      </x:c>
      <x:c r="K47" s="54" t="n">
        <x:f>0.5</x:f>
        <x:v>0.5</x:v>
      </x:c>
      <x:c r="L47" s="45" t="str">
        <x:v>Fixed</x:v>
      </x:c>
      <x:c r="M47" s="45" t="str">
        <x:v>نهاية Segment 43</x:v>
      </x:c>
      <x:c r="N47" s="45" t="str"/>
      <x:c r="O47" s="45" t="str">
        <x:v>Down-Right</x:v>
      </x:c>
      <x:c r="P47" s="45" t="n">
        <x:v>34.51519</x:v>
      </x:c>
      <x:c r="Q47" s="45" t="n">
        <x:v>634.75231</x:v>
      </x:c>
      <x:c r="R47" s="45" t="n">
        <x:v>35.93363</x:v>
      </x:c>
      <x:c r="S47" s="45" t="n">
        <x:v>634.75232</x:v>
      </x:c>
      <x:c r="T47" s="45" t="str"/>
      <x:c r="U47" s="43"/>
      <x:c r="V47" s="43"/>
      <x:c r="W47" s="43"/>
      <x:c r="X47" s="43"/>
      <x:c r="Y47" s="43"/>
      <x:c r="Z47" s="43"/>
    </x:row>
    <x:row r="48">
      <x:c r="A48" s="45" t="n">
        <x:v>45</x:v>
      </x:c>
      <x:c r="B48" s="45" t="str">
        <x:v>LINE_45</x:v>
      </x:c>
      <x:c r="C48" s="45" t="str">
        <x:v>الخط الرابع للغطاء السفلي</x:v>
      </x:c>
      <x:c r="D48" s="45" t="str">
        <x:v>الغطاء السفلي</x:v>
      </x:c>
      <x:c r="E48" s="45" t="str">
        <x:v>Straight Line</x:v>
      </x:c>
      <x:c r="F48" s="45" t="str">
        <x:v>نهاية Segment 44</x:v>
      </x:c>
      <x:c r="G48" s="45" t="str"/>
      <x:c r="H48" s="45" t="str">
        <x:v>رأسي</x:v>
      </x:c>
      <x:c r="I48" s="45" t="str">
        <x:v>Down</x:v>
      </x:c>
      <x:c r="J48" s="45" t="str">
        <x:v>Length = Length(Segment 39) = Depth - 0.25mm</x:v>
      </x:c>
      <x:c r="K48" s="54" t="n">
        <x:f>Inputs!$B$22</x:f>
        <x:v>49.75</x:v>
      </x:c>
      <x:c r="L48" s="45" t="str">
        <x:v>Variable</x:v>
      </x:c>
      <x:c r="M48" s="45" t="str">
        <x:v>Segment 44 + Segment 39 + العمق</x:v>
      </x:c>
      <x:c r="N48" s="45" t="str">
        <x:v>Segment 39</x:v>
      </x:c>
      <x:c r="O48" s="45" t="str">
        <x:v>Down</x:v>
      </x:c>
      <x:c r="P48" s="45" t="n">
        <x:v>34.51575</x:v>
      </x:c>
      <x:c r="Q48" s="45" t="n">
        <x:v>522.07477</x:v>
      </x:c>
      <x:c r="R48" s="45" t="n">
        <x:v>34.51575</x:v>
      </x:c>
      <x:c r="S48" s="45" t="n">
        <x:v>634.75195</x:v>
      </x:c>
      <x:c r="T48" s="45" t="str"/>
      <x:c r="U48" s="43"/>
      <x:c r="V48" s="43"/>
      <x:c r="W48" s="43"/>
      <x:c r="X48" s="43"/>
      <x:c r="Y48" s="43"/>
      <x:c r="Z48" s="43"/>
    </x:row>
    <x:row r="49">
      <x:c r="A49" s="45" t="n">
        <x:v>46</x:v>
      </x:c>
      <x:c r="B49" s="45" t="str">
        <x:v>LINE_46</x:v>
      </x:c>
      <x:c r="C49" s="45" t="str">
        <x:v>الخط السفلي للسان اللصق</x:v>
      </x:c>
      <x:c r="D49" s="45" t="str">
        <x:v>لسان اللصق</x:v>
      </x:c>
      <x:c r="E49" s="45" t="str">
        <x:v>Mirrored Angled Line</x:v>
      </x:c>
      <x:c r="F49" s="45" t="str">
        <x:v>نهاية Segment 45</x:v>
      </x:c>
      <x:c r="G49" s="45" t="str"/>
      <x:c r="H49" s="45" t="str">
        <x:v>مائل</x:v>
      </x:c>
      <x:c r="I49" s="45" t="str">
        <x:v>Left/مقابل Segment1</x:v>
      </x:c>
      <x:c r="J49" s="45" t="str">
        <x:v>Same as Segment 1 mirrored</x:v>
      </x:c>
      <x:c r="K49" s="54" t="n">
        <x:f>Inputs!$B$14</x:f>
        <x:v>5</x:v>
      </x:c>
      <x:c r="L49" s="45" t="str">
        <x:v>Variable Length / Fixed Angle</x:v>
      </x:c>
      <x:c r="M49" s="45" t="str">
        <x:v>Segment 45 + Segment 1 + لسان اللصق</x:v>
      </x:c>
      <x:c r="N49" s="45" t="str">
        <x:v>Segment 1</x:v>
      </x:c>
      <x:c r="O49" s="45" t="str">
        <x:v>Up-Left</x:v>
      </x:c>
      <x:c r="P49" s="45" t="n">
        <x:v>34.51575</x:v>
      </x:c>
      <x:c r="Q49" s="45" t="n">
        <x:v>522.07479</x:v>
      </x:c>
      <x:c r="R49" s="45" t="n">
        <x:v>0.5</x:v>
      </x:c>
      <x:c r="S49" s="45" t="n">
        <x:v>506.21298</x:v>
      </x:c>
      <x:c r="T49" s="45" t="str"/>
      <x:c r="U49" s="43"/>
      <x:c r="V49" s="43"/>
      <x:c r="W49" s="43"/>
      <x:c r="X49" s="43"/>
      <x:c r="Y49" s="43"/>
      <x:c r="Z49" s="43"/>
    </x:row>
    <x:row r="50">
      <x:c r="A50" s="45" t="n">
        <x:v>47</x:v>
      </x:c>
      <x:c r="B50" s="45" t="str">
        <x:v>LINE_47</x:v>
      </x:c>
      <x:c r="C50" s="45" t="str">
        <x:v>الخط الواصل بين الخط العلوي والخط السفلي للسان اللصق</x:v>
      </x:c>
      <x:c r="D50" s="45" t="str">
        <x:v>لسان اللصق</x:v>
      </x:c>
      <x:c r="E50" s="45" t="str">
        <x:v>Straight Connector Line</x:v>
      </x:c>
      <x:c r="F50" s="45" t="str">
        <x:v>نهاية Segment 46</x:v>
      </x:c>
      <x:c r="G50" s="45" t="str">
        <x:v>بداية Segment 1</x:v>
      </x:c>
      <x:c r="H50" s="45" t="str">
        <x:v>رأسي</x:v>
      </x:c>
      <x:c r="I50" s="45" t="str">
        <x:v>Between anchors</x:v>
      </x:c>
      <x:c r="J50" s="45" t="str">
        <x:v>Closes glue flap contour</x:v>
      </x:c>
      <x:c r="K50" s="54" t="str"/>
      <x:c r="L50" s="45" t="str">
        <x:v>Variable</x:v>
      </x:c>
      <x:c r="M50" s="45" t="str">
        <x:v>Segment 46 + Segment 1</x:v>
      </x:c>
      <x:c r="N50" s="45" t="str"/>
      <x:c r="O50" s="45" t="str">
        <x:v>Down</x:v>
      </x:c>
      <x:c r="P50" s="45" t="n">
        <x:v>0.5</x:v>
      </x:c>
      <x:c r="Q50" s="45" t="n">
        <x:v>169.43268</x:v>
      </x:c>
      <x:c r="R50" s="45" t="n">
        <x:v>0.5</x:v>
      </x:c>
      <x:c r="S50" s="45" t="n">
        <x:v>506.21295</x:v>
      </x:c>
      <x:c r="T50" s="45" t="str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61a3d4f24cd94e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2" hidden="0" customWidth="1"/>
    <x:col min="4" max="4" width="26" hidden="0" customWidth="1"/>
    <x:col min="5" max="5" width="26" hidden="0" customWidth="1"/>
    <x:col min="6" max="6" width="12" hidden="0" customWidth="1"/>
    <x:col min="7" max="7" width="18" hidden="0" customWidth="1"/>
    <x:col min="8" max="8" width="42" hidden="0" customWidth="1"/>
    <x:col min="9" max="9" width="12" hidden="0" customWidth="1"/>
    <x:col min="10" max="10" width="18" hidden="0" customWidth="1"/>
    <x:col min="11" max="11" width="28" hidden="0" customWidth="1"/>
    <x:col min="12" max="12" width="14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36" hidden="0" customWidth="1"/>
  </x:cols>
  <x:sheetData>
    <x:row r="1" ht="28" customHeight="1">
      <x:c r="A1" s="42" t="str">
        <x:v>Attached Cut Lines — 48 to 55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Segment</x:v>
      </x:c>
      <x:c r="B3" s="44" t="str">
        <x:v>SVG ID</x:v>
      </x:c>
      <x:c r="C3" s="44" t="str">
        <x:v>Arabic Name</x:v>
      </x:c>
      <x:c r="D3" s="44" t="str">
        <x:v>Type</x:v>
      </x:c>
      <x:c r="E3" s="44" t="str">
        <x:v>Start Anchor</x:v>
      </x:c>
      <x:c r="F3" s="44" t="str">
        <x:v>Direction</x:v>
      </x:c>
      <x:c r="G3" s="44" t="str">
        <x:v>Extension Direction</x:v>
      </x:c>
      <x:c r="H3" s="44" t="str">
        <x:v>Rule</x:v>
      </x:c>
      <x:c r="I3" s="44" t="str">
        <x:v>Calc mm</x:v>
      </x:c>
      <x:c r="J3" s="44" t="str">
        <x:v>Fixed / Variable</x:v>
      </x:c>
      <x:c r="K3" s="44" t="str">
        <x:v>Depends On</x:v>
      </x:c>
      <x:c r="L3" s="44" t="str">
        <x:v>SVG Direction</x:v>
      </x:c>
      <x:c r="M3" s="44" t="str">
        <x:v>x1</x:v>
      </x:c>
      <x:c r="N3" s="44" t="str">
        <x:v>y1</x:v>
      </x:c>
      <x:c r="O3" s="44" t="str">
        <x:v>x2</x:v>
      </x:c>
      <x:c r="P3" s="44" t="str">
        <x:v>y2</x:v>
      </x:c>
      <x:c r="Q3" s="44" t="str">
        <x:v>Notes</x:v>
      </x:c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5" t="n">
        <x:v>48</x:v>
      </x:c>
      <x:c r="B4" s="45" t="str">
        <x:v>CUT_48</x:v>
      </x:c>
      <x:c r="C4" s="45" t="str">
        <x:v>خط قص داخلي مرتبط ببداية Segment 11</x:v>
      </x:c>
      <x:c r="D4" s="45" t="str">
        <x:v>Straight Attached Cut Line</x:v>
      </x:c>
      <x:c r="E4" s="45" t="str">
        <x:v>بداية Segment 11</x:v>
      </x:c>
      <x:c r="F4" s="45" t="str">
        <x:v>أفقي</x:v>
      </x:c>
      <x:c r="G4" s="45" t="str">
        <x:v>Right</x:v>
      </x:c>
      <x:c r="H4" s="45" t="str">
        <x:v>Length = Height(Segment 4)+2mm</x:v>
      </x:c>
      <x:c r="I4" s="56" t="n">
        <x:f>Inputs!$B$27</x:f>
        <x:v>7</x:v>
      </x:c>
      <x:c r="J4" s="45" t="str">
        <x:v>Variable</x:v>
      </x:c>
      <x:c r="K4" s="45" t="str">
        <x:v>Segment 11 + Segment 4</x:v>
      </x:c>
      <x:c r="L4" s="45" t="str">
        <x:v>Right</x:v>
      </x:c>
      <x:c r="M4" s="45" t="n">
        <x:v>289.63391</x:v>
      </x:c>
      <x:c r="N4" s="45" t="n">
        <x:v>40.8937</x:v>
      </x:c>
      <x:c r="O4" s="45" t="n">
        <x:v>309.47644</x:v>
      </x:c>
      <x:c r="P4" s="45" t="n">
        <x:v>40.8937</x:v>
      </x:c>
      <x:c r="Q4" s="45" t="str">
        <x:v>خط قص ملحق</x:v>
      </x:c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5" t="n">
        <x:v>49</x:v>
      </x:c>
      <x:c r="B5" s="45" t="str">
        <x:v>CUT_49</x:v>
      </x:c>
      <x:c r="C5" s="45" t="str">
        <x:v>مكمل Segment 48</x:v>
      </x:c>
      <x:c r="D5" s="45" t="str">
        <x:v>Straight Attached Cut Line</x:v>
      </x:c>
      <x:c r="E5" s="45" t="str">
        <x:v>نهاية Segment 48</x:v>
      </x:c>
      <x:c r="F5" s="45" t="str">
        <x:v>رأسي</x:v>
      </x:c>
      <x:c r="G5" s="45" t="str">
        <x:v>Down</x:v>
      </x:c>
      <x:c r="H5" s="45" t="str">
        <x:v>Height=2.25mm</x:v>
      </x:c>
      <x:c r="I5" s="56" t="n">
        <x:f>2.25</x:f>
        <x:v>2.25</x:v>
      </x:c>
      <x:c r="J5" s="45" t="str">
        <x:v>Fixed</x:v>
      </x:c>
      <x:c r="K5" s="45" t="str">
        <x:v>Segment 48</x:v>
      </x:c>
      <x:c r="L5" s="45" t="str">
        <x:v>Down-Left</x:v>
      </x:c>
      <x:c r="M5" s="45" t="n">
        <x:v>309.47638</x:v>
      </x:c>
      <x:c r="N5" s="45" t="n">
        <x:v>40.8937</x:v>
      </x:c>
      <x:c r="O5" s="45" t="n">
        <x:v>309.47637</x:v>
      </x:c>
      <x:c r="P5" s="45" t="n">
        <x:v>47.27166</x:v>
      </x:c>
      <x:c r="Q5" s="45" t="str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5" t="n">
        <x:v>50</x:v>
      </x:c>
      <x:c r="B6" s="45" t="str">
        <x:v>CUT_50</x:v>
      </x:c>
      <x:c r="C6" s="45" t="str">
        <x:v>خط قص داخلي مرتبط ببداية Segment 15</x:v>
      </x:c>
      <x:c r="D6" s="45" t="str">
        <x:v>Straight Attached Cut Line</x:v>
      </x:c>
      <x:c r="E6" s="45" t="str">
        <x:v>بداية Segment 15</x:v>
      </x:c>
      <x:c r="F6" s="45" t="str">
        <x:v>أفقي</x:v>
      </x:c>
      <x:c r="G6" s="45" t="str">
        <x:v>Right</x:v>
      </x:c>
      <x:c r="H6" s="45" t="str">
        <x:v>Length = Length(Segment 48)</x:v>
      </x:c>
      <x:c r="I6" s="56" t="n">
        <x:f>Inputs!$B$27</x:f>
        <x:v>7</x:v>
      </x:c>
      <x:c r="J6" s="45" t="str">
        <x:v>Variable</x:v>
      </x:c>
      <x:c r="K6" s="45" t="str">
        <x:v>Segment 15 + Segment 48</x:v>
      </x:c>
      <x:c r="L6" s="45" t="str">
        <x:v>Left</x:v>
      </x:c>
      <x:c r="M6" s="45" t="n">
        <x:v>431.36621</x:v>
      </x:c>
      <x:c r="N6" s="45" t="n">
        <x:v>40.8937</x:v>
      </x:c>
      <x:c r="O6" s="45" t="n">
        <x:v>411.52368</x:v>
      </x:c>
      <x:c r="P6" s="45" t="n">
        <x:v>40.8937</x:v>
      </x:c>
      <x:c r="Q6" s="45" t="str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5" t="n">
        <x:v>51</x:v>
      </x:c>
      <x:c r="B7" s="45" t="str">
        <x:v>CUT_51</x:v>
      </x:c>
      <x:c r="C7" s="45" t="str">
        <x:v>مكمل Segment 50</x:v>
      </x:c>
      <x:c r="D7" s="45" t="str">
        <x:v>Straight Attached Cut Line</x:v>
      </x:c>
      <x:c r="E7" s="45" t="str">
        <x:v>نهاية Segment 50</x:v>
      </x:c>
      <x:c r="F7" s="45" t="str">
        <x:v>رأسي</x:v>
      </x:c>
      <x:c r="G7" s="45" t="str">
        <x:v>Down</x:v>
      </x:c>
      <x:c r="H7" s="45" t="str">
        <x:v>Height=2.25mm</x:v>
      </x:c>
      <x:c r="I7" s="56" t="n">
        <x:f>2.25</x:f>
        <x:v>2.25</x:v>
      </x:c>
      <x:c r="J7" s="45" t="str">
        <x:v>Fixed</x:v>
      </x:c>
      <x:c r="K7" s="45" t="str">
        <x:v>Segment 50</x:v>
      </x:c>
      <x:c r="L7" s="45" t="str">
        <x:v>Down</x:v>
      </x:c>
      <x:c r="M7" s="45" t="n">
        <x:v>411.52368</x:v>
      </x:c>
      <x:c r="N7" s="45" t="n">
        <x:v>40.8937</x:v>
      </x:c>
      <x:c r="O7" s="45" t="n">
        <x:v>411.52368</x:v>
      </x:c>
      <x:c r="P7" s="45" t="n">
        <x:v>47.27166</x:v>
      </x:c>
      <x:c r="Q7" s="45" t="str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5" t="n">
        <x:v>52</x:v>
      </x:c>
      <x:c r="B8" s="45" t="str">
        <x:v>CUT_52</x:v>
      </x:c>
      <x:c r="C8" s="45" t="str">
        <x:v>خط قص داخلي مرتبط ببداية Segment 44</x:v>
      </x:c>
      <x:c r="D8" s="45" t="str">
        <x:v>Straight Attached Cut Line</x:v>
      </x:c>
      <x:c r="E8" s="45" t="str">
        <x:v>بداية Segment 44</x:v>
      </x:c>
      <x:c r="F8" s="45" t="str">
        <x:v>أفقي</x:v>
      </x:c>
      <x:c r="G8" s="45" t="str">
        <x:v>Left</x:v>
      </x:c>
      <x:c r="H8" s="45" t="str">
        <x:v>Length = Length(Segment 48)</x:v>
      </x:c>
      <x:c r="I8" s="56" t="n">
        <x:f>Inputs!$B$27</x:f>
        <x:v>7</x:v>
      </x:c>
      <x:c r="J8" s="45" t="str">
        <x:v>Variable</x:v>
      </x:c>
      <x:c r="K8" s="45" t="str">
        <x:v>Segment 44 + Segment 48</x:v>
      </x:c>
      <x:c r="L8" s="45" t="str">
        <x:v>Right</x:v>
      </x:c>
      <x:c r="M8" s="45" t="n">
        <x:v>34.51575</x:v>
      </x:c>
      <x:c r="N8" s="45" t="n">
        <x:v>634.75198</x:v>
      </x:c>
      <x:c r="O8" s="45" t="n">
        <x:v>54.35828</x:v>
      </x:c>
      <x:c r="P8" s="45" t="n">
        <x:v>634.75198</x:v>
      </x:c>
      <x:c r="Q8" s="45" t="str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5" t="n">
        <x:v>53</x:v>
      </x:c>
      <x:c r="B9" s="45" t="str">
        <x:v>CUT_53</x:v>
      </x:c>
      <x:c r="C9" s="45" t="str">
        <x:v>مكمل Segment 52</x:v>
      </x:c>
      <x:c r="D9" s="45" t="str">
        <x:v>Straight Attached Cut Line</x:v>
      </x:c>
      <x:c r="E9" s="45" t="str">
        <x:v>نهاية Segment 52</x:v>
      </x:c>
      <x:c r="F9" s="45" t="str">
        <x:v>رأسي</x:v>
      </x:c>
      <x:c r="G9" s="45" t="str">
        <x:v>Up</x:v>
      </x:c>
      <x:c r="H9" s="45" t="str">
        <x:v>Height=2.25mm</x:v>
      </x:c>
      <x:c r="I9" s="56" t="n">
        <x:f>2.25</x:f>
        <x:v>2.25</x:v>
      </x:c>
      <x:c r="J9" s="45" t="str">
        <x:v>Fixed</x:v>
      </x:c>
      <x:c r="K9" s="45" t="str">
        <x:v>Segment 52</x:v>
      </x:c>
      <x:c r="L9" s="45" t="str">
        <x:v>Up</x:v>
      </x:c>
      <x:c r="M9" s="45" t="n">
        <x:v>54.35828</x:v>
      </x:c>
      <x:c r="N9" s="45" t="n">
        <x:v>634.75198</x:v>
      </x:c>
      <x:c r="O9" s="45" t="n">
        <x:v>54.35828</x:v>
      </x:c>
      <x:c r="P9" s="45" t="n">
        <x:v>628.37399</x:v>
      </x:c>
      <x:c r="Q9" s="45" t="str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5" t="n">
        <x:v>54</x:v>
      </x:c>
      <x:c r="B10" s="45" t="str">
        <x:v>CUT_54</x:v>
      </x:c>
      <x:c r="C10" s="45" t="str">
        <x:v>خط قص داخلي مرتبط ببداية Segment 40</x:v>
      </x:c>
      <x:c r="D10" s="45" t="str">
        <x:v>Straight Attached Cut Line</x:v>
      </x:c>
      <x:c r="E10" s="45" t="str">
        <x:v>بداية Segment 40</x:v>
      </x:c>
      <x:c r="F10" s="45" t="str">
        <x:v>أفقي</x:v>
      </x:c>
      <x:c r="G10" s="45" t="str">
        <x:v>Left</x:v>
      </x:c>
      <x:c r="H10" s="45" t="str">
        <x:v>Length = Length(Segment 48)</x:v>
      </x:c>
      <x:c r="I10" s="56" t="n">
        <x:f>Inputs!$B$27</x:f>
        <x:v>7</x:v>
      </x:c>
      <x:c r="J10" s="45" t="str">
        <x:v>Variable</x:v>
      </x:c>
      <x:c r="K10" s="45" t="str">
        <x:v>Segment 40 + Segment 48</x:v>
      </x:c>
      <x:c r="L10" s="45" t="str">
        <x:v>Left</x:v>
      </x:c>
      <x:c r="M10" s="45" t="n">
        <x:v>176.24811</x:v>
      </x:c>
      <x:c r="N10" s="45" t="n">
        <x:v>634.75198</x:v>
      </x:c>
      <x:c r="O10" s="45" t="n">
        <x:v>156.40552</x:v>
      </x:c>
      <x:c r="P10" s="45" t="n">
        <x:v>634.75198</x:v>
      </x:c>
      <x:c r="Q10" s="45" t="str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5" t="n">
        <x:v>55</x:v>
      </x:c>
      <x:c r="B11" s="45" t="str">
        <x:v>CUT_55</x:v>
      </x:c>
      <x:c r="C11" s="45" t="str">
        <x:v>مكمل Segment 54</x:v>
      </x:c>
      <x:c r="D11" s="45" t="str">
        <x:v>Straight Attached Cut Line</x:v>
      </x:c>
      <x:c r="E11" s="45" t="str">
        <x:v>نهاية Segment 54</x:v>
      </x:c>
      <x:c r="F11" s="45" t="str">
        <x:v>رأسي</x:v>
      </x:c>
      <x:c r="G11" s="45" t="str">
        <x:v>Up</x:v>
      </x:c>
      <x:c r="H11" s="45" t="str">
        <x:v>Height=2.25mm</x:v>
      </x:c>
      <x:c r="I11" s="56" t="n">
        <x:f>2.25</x:f>
        <x:v>2.25</x:v>
      </x:c>
      <x:c r="J11" s="45" t="str">
        <x:v>Fixed</x:v>
      </x:c>
      <x:c r="K11" s="45" t="str">
        <x:v>Segment 54</x:v>
      </x:c>
      <x:c r="L11" s="45" t="str">
        <x:v>Up</x:v>
      </x:c>
      <x:c r="M11" s="45" t="n">
        <x:v>156.40552</x:v>
      </x:c>
      <x:c r="N11" s="45" t="n">
        <x:v>634.75198</x:v>
      </x:c>
      <x:c r="O11" s="45" t="n">
        <x:v>156.40552</x:v>
      </x:c>
      <x:c r="P11" s="45" t="n">
        <x:v>628.37399</x:v>
      </x:c>
      <x:c r="Q11" s="45" t="str">
        <x:v>تم تصحيح البداية إلى نهاية Segment 54</x:v>
      </x:c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e3f9d01afe5b4f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28" hidden="0" customWidth="1"/>
    <x:col min="5" max="5" width="32" hidden="0" customWidth="1"/>
    <x:col min="6" max="6" width="24" hidden="0" customWidth="1"/>
    <x:col min="7" max="7" width="12" hidden="0" customWidth="1"/>
    <x:col min="8" max="8" width="18" hidden="0" customWidth="1"/>
    <x:col min="9" max="9" width="38" hidden="0" customWidth="1"/>
    <x:col min="10" max="10" width="12" hidden="0" customWidth="1"/>
    <x:col min="11" max="11" width="18" hidden="0" customWidth="1"/>
    <x:col min="12" max="12" width="20" hidden="0" customWidth="1"/>
    <x:col min="13" max="13" width="30" hidden="0" customWidth="1"/>
    <x:col min="14" max="14" width="14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36" hidden="0" customWidth="1"/>
  </x:cols>
  <x:sheetData>
    <x:row r="1" ht="28" customHeight="1">
      <x:c r="A1" s="42" t="str">
        <x:v>Crease / Fold Lines — 56 to 67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Segment</x:v>
      </x:c>
      <x:c r="B3" s="44" t="str">
        <x:v>SVG ID</x:v>
      </x:c>
      <x:c r="C3" s="44" t="str">
        <x:v>Arabic Name</x:v>
      </x:c>
      <x:c r="D3" s="44" t="str">
        <x:v>Type</x:v>
      </x:c>
      <x:c r="E3" s="44" t="str">
        <x:v>Start Anchor / Position</x:v>
      </x:c>
      <x:c r="F3" s="44" t="str">
        <x:v>End Anchor</x:v>
      </x:c>
      <x:c r="G3" s="44" t="str">
        <x:v>Direction</x:v>
      </x:c>
      <x:c r="H3" s="44" t="str">
        <x:v>Extension Direction</x:v>
      </x:c>
      <x:c r="I3" s="44" t="str">
        <x:v>Rule</x:v>
      </x:c>
      <x:c r="J3" s="44" t="str">
        <x:v>Calc mm</x:v>
      </x:c>
      <x:c r="K3" s="44" t="str">
        <x:v>Offset</x:v>
      </x:c>
      <x:c r="L3" s="44" t="str">
        <x:v>Fixed / Variable</x:v>
      </x:c>
      <x:c r="M3" s="44" t="str">
        <x:v>Depends On</x:v>
      </x:c>
      <x:c r="N3" s="44" t="str">
        <x:v>SVG Direction</x:v>
      </x:c>
      <x:c r="O3" s="44" t="str">
        <x:v>x1</x:v>
      </x:c>
      <x:c r="P3" s="44" t="str">
        <x:v>y1</x:v>
      </x:c>
      <x:c r="Q3" s="44" t="str">
        <x:v>x2</x:v>
      </x:c>
      <x:c r="R3" s="44" t="str">
        <x:v>y2</x:v>
      </x:c>
      <x:c r="S3" s="44" t="str">
        <x:v>Notes</x:v>
      </x:c>
      <x:c r="T3" s="43"/>
      <x:c r="U3" s="43"/>
      <x:c r="V3" s="43"/>
      <x:c r="W3" s="43"/>
      <x:c r="X3" s="43"/>
      <x:c r="Y3" s="43"/>
      <x:c r="Z3" s="43"/>
    </x:row>
    <x:row r="4">
      <x:c r="A4" s="45" t="n">
        <x:v>56</x:v>
      </x:c>
      <x:c r="B4" s="45" t="str">
        <x:v>CREASE_56</x:v>
      </x:c>
      <x:c r="C4" s="45" t="str">
        <x:v>الفاصل بين لسان اللصق والواجهة الأولى</x:v>
      </x:c>
      <x:c r="D4" s="45" t="str">
        <x:v>Crease Line</x:v>
      </x:c>
      <x:c r="E4" s="45" t="str">
        <x:v>نهاية لسان اللصق / بداية الواجهة الأولى</x:v>
      </x:c>
      <x:c r="F4" s="45" t="str"/>
      <x:c r="G4" s="45" t="str">
        <x:v>رأسي</x:v>
      </x:c>
      <x:c r="H4" s="45" t="str">
        <x:v>Down/Up with Height</x:v>
      </x:c>
      <x:c r="I4" s="45" t="str">
        <x:v>Height = Height</x:v>
      </x:c>
      <x:c r="J4" s="56" t="n">
        <x:f>Inputs!$B$6</x:f>
        <x:v>200</x:v>
      </x:c>
      <x:c r="K4" s="45" t="str"/>
      <x:c r="L4" s="45" t="str">
        <x:v>Variable</x:v>
      </x:c>
      <x:c r="M4" s="45" t="str">
        <x:v>الارتفاع + حدود لسان اللصق والواجهة الأولى</x:v>
      </x:c>
      <x:c r="N4" s="45" t="str">
        <x:v>Up</x:v>
      </x:c>
      <x:c r="O4" s="45" t="n">
        <x:v>34.51575</x:v>
      </x:c>
      <x:c r="P4" s="45" t="n">
        <x:v>522.07479</x:v>
      </x:c>
      <x:c r="Q4" s="45" t="n">
        <x:v>34.51575</x:v>
      </x:c>
      <x:c r="R4" s="45" t="n">
        <x:v>153.57087</x:v>
      </x:c>
      <x:c r="S4" s="45" t="str"/>
      <x:c r="T4" s="43"/>
      <x:c r="U4" s="43"/>
      <x:c r="V4" s="43"/>
      <x:c r="W4" s="43"/>
      <x:c r="X4" s="43"/>
      <x:c r="Y4" s="43"/>
      <x:c r="Z4" s="43"/>
    </x:row>
    <x:row r="5">
      <x:c r="A5" s="45" t="n">
        <x:v>57</x:v>
      </x:c>
      <x:c r="B5" s="45" t="str">
        <x:v>CREASE_57</x:v>
      </x:c>
      <x:c r="C5" s="45" t="str">
        <x:v>الفاصل بين الواجهة الأولى والعمق الأول</x:v>
      </x:c>
      <x:c r="D5" s="45" t="str">
        <x:v>Crease Line</x:v>
      </x:c>
      <x:c r="E5" s="45" t="str">
        <x:v>نهاية الواجهة الأولى / بداية العمق الأول</x:v>
      </x:c>
      <x:c r="F5" s="45" t="str"/>
      <x:c r="G5" s="45" t="str">
        <x:v>رأسي</x:v>
      </x:c>
      <x:c r="H5" s="45" t="str">
        <x:v>Down/Up with Height</x:v>
      </x:c>
      <x:c r="I5" s="45" t="str">
        <x:v>Height = Height</x:v>
      </x:c>
      <x:c r="J5" s="56" t="n">
        <x:f>Inputs!$B$6</x:f>
        <x:v>200</x:v>
      </x:c>
      <x:c r="K5" s="45" t="str"/>
      <x:c r="L5" s="45" t="str">
        <x:v>Variable</x:v>
      </x:c>
      <x:c r="M5" s="45" t="str">
        <x:v>الارتفاع + حدود الواجهة الأولى والعمق الأول</x:v>
      </x:c>
      <x:c r="N5" s="45" t="str">
        <x:v>Up</x:v>
      </x:c>
      <x:c r="O5" s="45" t="n">
        <x:v>176.24811</x:v>
      </x:c>
      <x:c r="P5" s="45" t="n">
        <x:v>522.07479</x:v>
      </x:c>
      <x:c r="Q5" s="45" t="n">
        <x:v>176.24811</x:v>
      </x:c>
      <x:c r="R5" s="45" t="n">
        <x:v>153.57087</x:v>
      </x:c>
      <x:c r="S5" s="45" t="str"/>
      <x:c r="T5" s="43"/>
      <x:c r="U5" s="43"/>
      <x:c r="V5" s="43"/>
      <x:c r="W5" s="43"/>
      <x:c r="X5" s="43"/>
      <x:c r="Y5" s="43"/>
      <x:c r="Z5" s="43"/>
    </x:row>
    <x:row r="6">
      <x:c r="A6" s="45" t="n">
        <x:v>58</x:v>
      </x:c>
      <x:c r="B6" s="45" t="str">
        <x:v>CREASE_58</x:v>
      </x:c>
      <x:c r="C6" s="45" t="str">
        <x:v>الفاصل بين العمق الأول والواجهة الثانية</x:v>
      </x:c>
      <x:c r="D6" s="45" t="str">
        <x:v>Crease Line</x:v>
      </x:c>
      <x:c r="E6" s="45" t="str">
        <x:v>نهاية العمق الأول / بداية الواجهة الثانية</x:v>
      </x:c>
      <x:c r="F6" s="45" t="str"/>
      <x:c r="G6" s="45" t="str">
        <x:v>رأسي</x:v>
      </x:c>
      <x:c r="H6" s="45" t="str">
        <x:v>Down/Up with Height</x:v>
      </x:c>
      <x:c r="I6" s="45" t="str">
        <x:v>Height = Height</x:v>
      </x:c>
      <x:c r="J6" s="56" t="n">
        <x:f>Inputs!$B$6</x:f>
        <x:v>200</x:v>
      </x:c>
      <x:c r="K6" s="45" t="str"/>
      <x:c r="L6" s="45" t="str">
        <x:v>Variable</x:v>
      </x:c>
      <x:c r="M6" s="45" t="str">
        <x:v>الارتفاع + حدود العمق الأول والواجهة الثانية</x:v>
      </x:c>
      <x:c r="N6" s="45" t="str">
        <x:v>Down</x:v>
      </x:c>
      <x:c r="O6" s="45" t="n">
        <x:v>289.63391</x:v>
      </x:c>
      <x:c r="P6" s="45" t="n">
        <x:v>153.57087</x:v>
      </x:c>
      <x:c r="Q6" s="45" t="n">
        <x:v>289.63391</x:v>
      </x:c>
      <x:c r="R6" s="45" t="n">
        <x:v>522.07479</x:v>
      </x:c>
      <x:c r="S6" s="45" t="str"/>
      <x:c r="T6" s="43"/>
      <x:c r="U6" s="43"/>
      <x:c r="V6" s="43"/>
      <x:c r="W6" s="43"/>
      <x:c r="X6" s="43"/>
      <x:c r="Y6" s="43"/>
      <x:c r="Z6" s="43"/>
    </x:row>
    <x:row r="7">
      <x:c r="A7" s="45" t="n">
        <x:v>59</x:v>
      </x:c>
      <x:c r="B7" s="45" t="str">
        <x:v>CREASE_59</x:v>
      </x:c>
      <x:c r="C7" s="45" t="str">
        <x:v>الفاصل بين الواجهة الثانية والعمق الثاني</x:v>
      </x:c>
      <x:c r="D7" s="45" t="str">
        <x:v>Crease Line</x:v>
      </x:c>
      <x:c r="E7" s="45" t="str">
        <x:v>نهاية الواجهة الثانية / بداية العمق الثاني</x:v>
      </x:c>
      <x:c r="F7" s="45" t="str"/>
      <x:c r="G7" s="45" t="str">
        <x:v>رأسي</x:v>
      </x:c>
      <x:c r="H7" s="45" t="str">
        <x:v>Down/Up with Height</x:v>
      </x:c>
      <x:c r="I7" s="45" t="str">
        <x:v>Height = Height</x:v>
      </x:c>
      <x:c r="J7" s="56" t="n">
        <x:f>Inputs!$B$6</x:f>
        <x:v>200</x:v>
      </x:c>
      <x:c r="K7" s="45" t="str"/>
      <x:c r="L7" s="45" t="str">
        <x:v>Variable</x:v>
      </x:c>
      <x:c r="M7" s="45" t="str">
        <x:v>الارتفاع + حدود الواجهة الثانية والعمق الثاني</x:v>
      </x:c>
      <x:c r="N7" s="45" t="str">
        <x:v>Down</x:v>
      </x:c>
      <x:c r="O7" s="45" t="n">
        <x:v>431.36621</x:v>
      </x:c>
      <x:c r="P7" s="45" t="n">
        <x:v>153.57087</x:v>
      </x:c>
      <x:c r="Q7" s="45" t="n">
        <x:v>431.36621</x:v>
      </x:c>
      <x:c r="R7" s="45" t="n">
        <x:v>522.07479</x:v>
      </x:c>
      <x:c r="S7" s="45" t="str"/>
      <x:c r="T7" s="43"/>
      <x:c r="U7" s="43"/>
      <x:c r="V7" s="43"/>
      <x:c r="W7" s="43"/>
      <x:c r="X7" s="43"/>
      <x:c r="Y7" s="43"/>
      <x:c r="Z7" s="43"/>
    </x:row>
    <x:row r="8">
      <x:c r="A8" s="45" t="n">
        <x:v>60</x:v>
      </x:c>
      <x:c r="B8" s="45" t="str">
        <x:v>CREASE_60</x:v>
      </x:c>
      <x:c r="C8" s="45" t="str">
        <x:v>الفاصل بين الواجهة الأولى والغطاء السفلي</x:v>
      </x:c>
      <x:c r="D8" s="45" t="str">
        <x:v>Crease Line</x:v>
      </x:c>
      <x:c r="E8" s="45" t="str">
        <x:v>نهاية ارتفاع الواجهة الأولى / بداية الغطاء السفلي</x:v>
      </x:c>
      <x:c r="F8" s="45" t="str"/>
      <x:c r="G8" s="45" t="str">
        <x:v>أفقي</x:v>
      </x:c>
      <x:c r="H8" s="45" t="str">
        <x:v>Left/Right with face width</x:v>
      </x:c>
      <x:c r="I8" s="45" t="str">
        <x:v>Length = Face1 Width</x:v>
      </x:c>
      <x:c r="J8" s="56" t="n">
        <x:f>Inputs!$B$5</x:f>
        <x:v>200</x:v>
      </x:c>
      <x:c r="K8" s="45" t="str">
        <x:v>0.5mm toward bottom lid</x:v>
      </x:c>
      <x:c r="L8" s="45" t="str">
        <x:v>Variable position / Fixed offset</x:v>
      </x:c>
      <x:c r="M8" s="45" t="str">
        <x:v>Height + Face1 + bottom lid</x:v>
      </x:c>
      <x:c r="N8" s="45" t="str">
        <x:v>Right</x:v>
      </x:c>
      <x:c r="O8" s="45" t="n">
        <x:v>34.51575</x:v>
      </x:c>
      <x:c r="P8" s="45" t="n">
        <x:v>523.49215</x:v>
      </x:c>
      <x:c r="Q8" s="45" t="n">
        <x:v>176.24811</x:v>
      </x:c>
      <x:c r="R8" s="45" t="n">
        <x:v>523.49215</x:v>
      </x:c>
      <x:c r="S8" s="45" t="str">
        <x:v>Offset after height toward lid</x:v>
      </x:c>
      <x:c r="T8" s="43"/>
      <x:c r="U8" s="43"/>
      <x:c r="V8" s="43"/>
      <x:c r="W8" s="43"/>
      <x:c r="X8" s="43"/>
      <x:c r="Y8" s="43"/>
      <x:c r="Z8" s="43"/>
    </x:row>
    <x:row r="9">
      <x:c r="A9" s="45" t="n">
        <x:v>61</x:v>
      </x:c>
      <x:c r="B9" s="45" t="str">
        <x:v>CREASE_61</x:v>
      </x:c>
      <x:c r="C9" s="45" t="str">
        <x:v>الواصل بين Segment 53 و Segment 55</x:v>
      </x:c>
      <x:c r="D9" s="45" t="str">
        <x:v>Crease / Connector Reference Line</x:v>
      </x:c>
      <x:c r="E9" s="45" t="str">
        <x:v>بداية Segment 53 + 0.75mm</x:v>
      </x:c>
      <x:c r="F9" s="45" t="str">
        <x:v>باتجاه Segment 55</x:v>
      </x:c>
      <x:c r="G9" s="45" t="str">
        <x:v>أفقي</x:v>
      </x:c>
      <x:c r="H9" s="45" t="str">
        <x:v>Between anchors</x:v>
      </x:c>
      <x:c r="I9" s="45" t="str">
        <x:v>Starts at Segment53 start +0.75mm</x:v>
      </x:c>
      <x:c r="J9" s="56" t="str"/>
      <x:c r="K9" s="45" t="str">
        <x:v>0.75mm</x:v>
      </x:c>
      <x:c r="L9" s="45" t="str">
        <x:v>Variable position / Fixed offset</x:v>
      </x:c>
      <x:c r="M9" s="45" t="str">
        <x:v>Segment 53 + Segment 55</x:v>
      </x:c>
      <x:c r="N9" s="45" t="str">
        <x:v>Left</x:v>
      </x:c>
      <x:c r="O9" s="45" t="n">
        <x:v>156.40552</x:v>
      </x:c>
      <x:c r="P9" s="45" t="n">
        <x:v>632.626</x:v>
      </x:c>
      <x:c r="Q9" s="45" t="n">
        <x:v>54.35828</x:v>
      </x:c>
      <x:c r="R9" s="45" t="n">
        <x:v>632.626</x:v>
      </x:c>
      <x:c r="S9" s="45" t="str"/>
      <x:c r="T9" s="43"/>
      <x:c r="U9" s="43"/>
      <x:c r="V9" s="43"/>
      <x:c r="W9" s="43"/>
      <x:c r="X9" s="43"/>
      <x:c r="Y9" s="43"/>
      <x:c r="Z9" s="43"/>
    </x:row>
    <x:row r="10">
      <x:c r="A10" s="45" t="n">
        <x:v>62</x:v>
      </x:c>
      <x:c r="B10" s="45" t="str">
        <x:v>CREASE_62</x:v>
      </x:c>
      <x:c r="C10" s="45" t="str">
        <x:v>الفاصل بين اللسان العلوي للعمق الأول والعمق الأول</x:v>
      </x:c>
      <x:c r="D10" s="45" t="str">
        <x:v>Crease Line</x:v>
      </x:c>
      <x:c r="E10" s="45" t="str">
        <x:v>نهاية Segment 3</x:v>
      </x:c>
      <x:c r="F10" s="45" t="str">
        <x:v>حتى Segment 58</x:v>
      </x:c>
      <x:c r="G10" s="45" t="str">
        <x:v>أفقي</x:v>
      </x:c>
      <x:c r="H10" s="45" t="str">
        <x:v>Between anchors</x:v>
      </x:c>
      <x:c r="I10" s="45" t="str">
        <x:v>Distance between Segment3 end and Segment58</x:v>
      </x:c>
      <x:c r="J10" s="56" t="str"/>
      <x:c r="K10" s="45" t="str"/>
      <x:c r="L10" s="45" t="str">
        <x:v>Variable</x:v>
      </x:c>
      <x:c r="M10" s="45" t="str">
        <x:v>Segment 3 + Segment 58</x:v>
      </x:c>
      <x:c r="N10" s="45" t="str">
        <x:v>Right</x:v>
      </x:c>
      <x:c r="O10" s="45" t="n">
        <x:v>178.37402</x:v>
      </x:c>
      <x:c r="P10" s="45" t="n">
        <x:v>153.57087</x:v>
      </x:c>
      <x:c r="Q10" s="45" t="n">
        <x:v>289.63385</x:v>
      </x:c>
      <x:c r="R10" s="45" t="n">
        <x:v>153.57087</x:v>
      </x:c>
      <x:c r="S10" s="45" t="str">
        <x:v>تم اعتماد اتجاهه حسب الملف كخط أفقي</x:v>
      </x:c>
      <x:c r="T10" s="43"/>
      <x:c r="U10" s="43"/>
      <x:c r="V10" s="43"/>
      <x:c r="W10" s="43"/>
      <x:c r="X10" s="43"/>
      <x:c r="Y10" s="43"/>
      <x:c r="Z10" s="43"/>
    </x:row>
    <x:row r="11">
      <x:c r="A11" s="45" t="n">
        <x:v>63</x:v>
      </x:c>
      <x:c r="B11" s="45" t="str">
        <x:v>CREASE_63</x:v>
      </x:c>
      <x:c r="C11" s="45" t="str">
        <x:v>الفاصل بين اللسان السفلي للعمق الأول والعمق الأول</x:v>
      </x:c>
      <x:c r="D11" s="45" t="str">
        <x:v>Crease Line</x:v>
      </x:c>
      <x:c r="E11" s="45" t="str">
        <x:v>نهاية Segment 39</x:v>
      </x:c>
      <x:c r="F11" s="45" t="str">
        <x:v>حتى Segment 33</x:v>
      </x:c>
      <x:c r="G11" s="45" t="str">
        <x:v>أفقي</x:v>
      </x:c>
      <x:c r="H11" s="45" t="str">
        <x:v>Between anchors</x:v>
      </x:c>
      <x:c r="I11" s="45" t="str">
        <x:v>Distance between Segment39 end and Segment33</x:v>
      </x:c>
      <x:c r="J11" s="56" t="str"/>
      <x:c r="K11" s="45" t="str"/>
      <x:c r="L11" s="45" t="str">
        <x:v>Variable</x:v>
      </x:c>
      <x:c r="M11" s="45" t="str">
        <x:v>Segment 39 + Segment 33</x:v>
      </x:c>
      <x:c r="N11" s="45" t="str">
        <x:v>Left</x:v>
      </x:c>
      <x:c r="O11" s="45" t="n">
        <x:v>287.50787</x:v>
      </x:c>
      <x:c r="P11" s="45" t="n">
        <x:v>522.07479</x:v>
      </x:c>
      <x:c r="Q11" s="45" t="n">
        <x:v>176.24804</x:v>
      </x:c>
      <x:c r="R11" s="45" t="n">
        <x:v>522.07479</x:v>
      </x:c>
      <x:c r="S11" s="45" t="str">
        <x:v>تم اعتماد اتجاهه حسب الملف كخط أفقي</x:v>
      </x:c>
      <x:c r="T11" s="43"/>
      <x:c r="U11" s="43"/>
      <x:c r="V11" s="43"/>
      <x:c r="W11" s="43"/>
      <x:c r="X11" s="43"/>
      <x:c r="Y11" s="43"/>
      <x:c r="Z11" s="43"/>
    </x:row>
    <x:row r="12">
      <x:c r="A12" s="45" t="n">
        <x:v>64</x:v>
      </x:c>
      <x:c r="B12" s="45" t="str">
        <x:v>CREASE_64</x:v>
      </x:c>
      <x:c r="C12" s="45" t="str">
        <x:v>الفاصل بين الواجهة الثانية والغطاء العلوي</x:v>
      </x:c>
      <x:c r="D12" s="45" t="str">
        <x:v>Crease Line</x:v>
      </x:c>
      <x:c r="E12" s="45" t="str">
        <x:v>بداية ارتفاع الواجهة الثانية / نهاية الغطاء العلوي</x:v>
      </x:c>
      <x:c r="F12" s="45" t="str"/>
      <x:c r="G12" s="45" t="str">
        <x:v>أفقي</x:v>
      </x:c>
      <x:c r="H12" s="45" t="str">
        <x:v>Left/Right with face width</x:v>
      </x:c>
      <x:c r="I12" s="45" t="str">
        <x:v>Length = Face2 Width</x:v>
      </x:c>
      <x:c r="J12" s="56" t="n">
        <x:f>Inputs!$B$5</x:f>
        <x:v>200</x:v>
      </x:c>
      <x:c r="K12" s="45" t="str">
        <x:v>0.5mm toward top lid</x:v>
      </x:c>
      <x:c r="L12" s="45" t="str">
        <x:v>Variable position / Fixed offset</x:v>
      </x:c>
      <x:c r="M12" s="45" t="str">
        <x:v>Height + Face2 + top lid</x:v>
      </x:c>
      <x:c r="N12" s="45" t="str">
        <x:v>Right</x:v>
      </x:c>
      <x:c r="O12" s="45" t="n">
        <x:v>289.63391</x:v>
      </x:c>
      <x:c r="P12" s="45" t="n">
        <x:v>152.15355</x:v>
      </x:c>
      <x:c r="Q12" s="45" t="n">
        <x:v>431.36621</x:v>
      </x:c>
      <x:c r="R12" s="45" t="n">
        <x:v>152.15355</x:v>
      </x:c>
      <x:c r="S12" s="45" t="str"/>
      <x:c r="T12" s="43"/>
      <x:c r="U12" s="43"/>
      <x:c r="V12" s="43"/>
      <x:c r="W12" s="43"/>
      <x:c r="X12" s="43"/>
      <x:c r="Y12" s="43"/>
      <x:c r="Z12" s="43"/>
    </x:row>
    <x:row r="13">
      <x:c r="A13" s="45" t="n">
        <x:v>65</x:v>
      </x:c>
      <x:c r="B13" s="45" t="str">
        <x:v>CREASE_65</x:v>
      </x:c>
      <x:c r="C13" s="45" t="str">
        <x:v>الواصل بين Segment 49 و Segment 51</x:v>
      </x:c>
      <x:c r="D13" s="45" t="str">
        <x:v>Crease / Connector Reference Line</x:v>
      </x:c>
      <x:c r="E13" s="45" t="str">
        <x:v>بداية Segment 49 + 0.75mm</x:v>
      </x:c>
      <x:c r="F13" s="45" t="str">
        <x:v>باتجاه Segment 51</x:v>
      </x:c>
      <x:c r="G13" s="45" t="str">
        <x:v>أفقي</x:v>
      </x:c>
      <x:c r="H13" s="45" t="str">
        <x:v>Between anchors</x:v>
      </x:c>
      <x:c r="I13" s="45" t="str">
        <x:v>Starts at Segment49 start +0.75mm</x:v>
      </x:c>
      <x:c r="J13" s="56" t="str"/>
      <x:c r="K13" s="45" t="str">
        <x:v>0.75mm</x:v>
      </x:c>
      <x:c r="L13" s="45" t="str">
        <x:v>Variable position / Fixed offset</x:v>
      </x:c>
      <x:c r="M13" s="45" t="str">
        <x:v>Segment 49 + Segment 51</x:v>
      </x:c>
      <x:c r="N13" s="45" t="str">
        <x:v>Left</x:v>
      </x:c>
      <x:c r="O13" s="45" t="n">
        <x:v>411.52368</x:v>
      </x:c>
      <x:c r="P13" s="45" t="n">
        <x:v>43.01969</x:v>
      </x:c>
      <x:c r="Q13" s="45" t="n">
        <x:v>309.47644</x:v>
      </x:c>
      <x:c r="R13" s="45" t="n">
        <x:v>43.01969</x:v>
      </x:c>
      <x:c r="S13" s="45" t="str"/>
      <x:c r="T13" s="43"/>
      <x:c r="U13" s="43"/>
      <x:c r="V13" s="43"/>
      <x:c r="W13" s="43"/>
      <x:c r="X13" s="43"/>
      <x:c r="Y13" s="43"/>
      <x:c r="Z13" s="43"/>
    </x:row>
    <x:row r="14">
      <x:c r="A14" s="45" t="n">
        <x:v>66</x:v>
      </x:c>
      <x:c r="B14" s="45" t="str">
        <x:v>CREASE_66</x:v>
      </x:c>
      <x:c r="C14" s="45" t="str">
        <x:v>الفاصل بين اللسان العلوي للعمق الثاني والعمق الثاني</x:v>
      </x:c>
      <x:c r="D14" s="45" t="str">
        <x:v>Crease Line</x:v>
      </x:c>
      <x:c r="E14" s="45" t="str">
        <x:v>نهاية Segment 17</x:v>
      </x:c>
      <x:c r="F14" s="45" t="str">
        <x:v>حتى Segment 22</x:v>
      </x:c>
      <x:c r="G14" s="45" t="str">
        <x:v>أفقي</x:v>
      </x:c>
      <x:c r="H14" s="45" t="str">
        <x:v>Between anchors</x:v>
      </x:c>
      <x:c r="I14" s="45" t="str">
        <x:v>Distance between Segment17 end and Segment22</x:v>
      </x:c>
      <x:c r="J14" s="56" t="str"/>
      <x:c r="K14" s="45" t="str"/>
      <x:c r="L14" s="45" t="str">
        <x:v>Variable</x:v>
      </x:c>
      <x:c r="M14" s="45" t="str">
        <x:v>Segment 17 + Segment 22</x:v>
      </x:c>
      <x:c r="N14" s="45" t="str">
        <x:v>Left</x:v>
      </x:c>
      <x:c r="O14" s="45" t="n">
        <x:v>543.33472</x:v>
      </x:c>
      <x:c r="P14" s="45" t="n">
        <x:v>153.57087</x:v>
      </x:c>
      <x:c r="Q14" s="45" t="n">
        <x:v>431.36621</x:v>
      </x:c>
      <x:c r="R14" s="45" t="n">
        <x:v>153.57087</x:v>
      </x:c>
      <x:c r="S14" s="45" t="str">
        <x:v>تم اعتماد اتجاهه حسب الملف كخط أفقي</x:v>
      </x:c>
      <x:c r="T14" s="43"/>
      <x:c r="U14" s="43"/>
      <x:c r="V14" s="43"/>
      <x:c r="W14" s="43"/>
      <x:c r="X14" s="43"/>
      <x:c r="Y14" s="43"/>
      <x:c r="Z14" s="43"/>
    </x:row>
    <x:row r="15">
      <x:c r="A15" s="45" t="n">
        <x:v>67</x:v>
      </x:c>
      <x:c r="B15" s="45" t="str">
        <x:v>CREASE_67</x:v>
      </x:c>
      <x:c r="C15" s="45" t="str">
        <x:v>الفاصل بين اللسان السفلي للعمق الثاني والعمق الثاني</x:v>
      </x:c>
      <x:c r="D15" s="45" t="str">
        <x:v>Crease Line</x:v>
      </x:c>
      <x:c r="E15" s="45" t="str">
        <x:v>نهاية Segment 23</x:v>
      </x:c>
      <x:c r="F15" s="45" t="str">
        <x:v>حتى Segment 29</x:v>
      </x:c>
      <x:c r="G15" s="45" t="str">
        <x:v>أفقي</x:v>
      </x:c>
      <x:c r="H15" s="45" t="str">
        <x:v>Between anchors</x:v>
      </x:c>
      <x:c r="I15" s="45" t="str">
        <x:v>Distance between Segment23 end and Segment29</x:v>
      </x:c>
      <x:c r="J15" s="56" t="str"/>
      <x:c r="K15" s="45" t="str"/>
      <x:c r="L15" s="45" t="str">
        <x:v>Variable</x:v>
      </x:c>
      <x:c r="M15" s="45" t="str">
        <x:v>Segment 23 + Segment 29</x:v>
      </x:c>
      <x:c r="N15" s="45" t="str">
        <x:v>Right</x:v>
      </x:c>
      <x:c r="O15" s="45" t="n">
        <x:v>433.49219</x:v>
      </x:c>
      <x:c r="P15" s="45" t="n">
        <x:v>522.07479</x:v>
      </x:c>
      <x:c r="Q15" s="45" t="n">
        <x:v>543.33472</x:v>
      </x:c>
      <x:c r="R15" s="45" t="n">
        <x:v>522.07479</x:v>
      </x:c>
      <x:c r="S15" s="45" t="str">
        <x:v>تم اعتماد اتجاهه حسب الملف كخط أفقي</x:v>
      </x:c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ad5f714142ad4b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6" hidden="0" customWidth="1"/>
    <x:col min="4" max="4" width="46" hidden="0" customWidth="1"/>
  </x:cols>
  <x:sheetData>
    <x:row r="1" ht="28" customHeight="1">
      <x:c r="A1" s="42" t="str">
        <x:v>Anchor Rules and Region Map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Anchor / Region</x:v>
      </x:c>
      <x:c r="B3" s="44" t="str">
        <x:v>Definition</x:v>
      </x:c>
      <x:c r="C3" s="44" t="str">
        <x:v>Driven By</x:v>
      </x:c>
      <x:c r="D3" s="44" t="str">
        <x:v>Notes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5" t="str">
        <x:v>Glue Flap</x:v>
      </x:c>
      <x:c r="B4" s="45" t="str">
        <x:v>لسان اللصق</x:v>
      </x:c>
      <x:c r="C4" s="45" t="str">
        <x:v>Glue_Flap_Width + Face Height</x:v>
      </x:c>
      <x:c r="D4" s="45" t="str">
        <x:v>Segment 1, 46, 47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5" t="str">
        <x:v>Face 1</x:v>
      </x:c>
      <x:c r="B5" s="45" t="str">
        <x:v>الواجهة الأولى</x:v>
      </x:c>
      <x:c r="C5" s="45" t="str">
        <x:v>Width + Face_Height</x:v>
      </x:c>
      <x:c r="D5" s="45" t="str">
        <x:v>Face_Height = Height +0.5mm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5" t="str">
        <x:v>Depth 1</x:v>
      </x:c>
      <x:c r="B6" s="45" t="str">
        <x:v>العمق الأول</x:v>
      </x:c>
      <x:c r="C6" s="45" t="str">
        <x:v>Depth_1 + Height</x:v>
      </x:c>
      <x:c r="D6" s="45" t="str">
        <x:v>Depth_1 = Depth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5" t="str">
        <x:v>Face 2</x:v>
      </x:c>
      <x:c r="B7" s="45" t="str">
        <x:v>الواجهة الثانية</x:v>
      </x:c>
      <x:c r="C7" s="45" t="str">
        <x:v>Width + Face_Height</x:v>
      </x:c>
      <x:c r="D7" s="45" t="str">
        <x:v>Same as Face 1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5" t="str">
        <x:v>Depth 2</x:v>
      </x:c>
      <x:c r="B8" s="45" t="str">
        <x:v>العمق الثاني</x:v>
      </x:c>
      <x:c r="C8" s="45" t="str">
        <x:v>Depth_2 + Height</x:v>
      </x:c>
      <x:c r="D8" s="45" t="str">
        <x:v>Depth_2 = Depth -0.5mm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5" t="str">
        <x:v>Top Lid</x:v>
      </x:c>
      <x:c r="B9" s="45" t="str">
        <x:v>الغطاء العلوي</x:v>
      </x:c>
      <x:c r="C9" s="45" t="str">
        <x:v>Depth -0.25mm + Lid Tongue Height</x:v>
      </x:c>
      <x:c r="D9" s="45" t="str">
        <x:v>Segments 10-16</x:v>
      </x:c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5" t="str">
        <x:v>Bottom Lid</x:v>
      </x:c>
      <x:c r="B10" s="45" t="str">
        <x:v>الغطاء السفلي</x:v>
      </x:c>
      <x:c r="C10" s="45" t="str">
        <x:v>Depth -0.25mm + Lid Tongue Height</x:v>
      </x:c>
      <x:c r="D10" s="45" t="str">
        <x:v>Segments 39-45</x:v>
      </x:c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5" t="str">
        <x:v>Depth Tongues</x:v>
      </x:c>
      <x:c r="B11" s="45" t="str">
        <x:v>ألسنة العمق</x:v>
      </x:c>
      <x:c r="C11" s="45" t="str">
        <x:v>Segment-specific rules</x:v>
      </x:c>
      <x:c r="D11" s="45" t="str">
        <x:v>Segments 4-9,17-22,24-30,33-38</x:v>
      </x:c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5" t="str">
        <x:v>Attached Cuts</x:v>
      </x:c>
      <x:c r="B12" s="45" t="str">
        <x:v>خطوط القص الملحقة</x:v>
      </x:c>
      <x:c r="C12" s="45" t="str">
        <x:v>Segments 48-55</x:v>
      </x:c>
      <x:c r="D12" s="45" t="str">
        <x:v>Use as cut lines, not crease</x:v>
      </x:c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5" t="str">
        <x:v>Creases</x:v>
      </x:c>
      <x:c r="B13" s="45" t="str">
        <x:v>خطوط الطي</x:v>
      </x:c>
      <x:c r="C13" s="45" t="str">
        <x:v>Segments 56-67</x:v>
      </x:c>
      <x:c r="D13" s="45" t="str">
        <x:v>Separate from cut lines</x:v>
      </x:c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158ca2e1592a452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7.75" hidden="0" customWidth="1"/>
    <x:col min="4" max="4" width="60" hidden="0" customWidth="1"/>
  </x:cols>
  <x:sheetData>
    <x:row r="1" ht="28" customHeight="1">
      <x:c r="A1" s="79" t="str">
        <x:v>Smart Nesting Gap Model — True Shape Priority</x:v>
      </x:c>
      <x:c r="B1" s="45"/>
      <x:c r="C1" s="45"/>
      <x:c r="D1" s="45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5"/>
      <x:c r="B2" s="45"/>
      <x:c r="C2" s="45"/>
      <x:c r="D2" s="45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Metric</x:v>
      </x:c>
      <x:c r="B3" s="44" t="str">
        <x:v>Formula / Value</x:v>
      </x:c>
      <x:c r="C3" s="44" t="str">
        <x:v>Unit</x:v>
      </x:c>
      <x:c r="D3" s="44" t="str">
        <x:v>Rule / Note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5" t="str">
        <x:v>Main Body Width</x:v>
      </x:c>
      <x:c r="B4" s="45" t="n">
        <x:f>Inputs!$B$14+Inputs!$B$5+Inputs!$B$20+Inputs!$B$5+Inputs!$B$21</x:f>
        <x:v>504.5</x:v>
      </x:c>
      <x:c r="C4" s="45" t="str">
        <x:v>mm</x:v>
      </x:c>
      <x:c r="D4" s="45" t="str">
        <x:v>Glue_Flap + Width + Depth1 + Width + Depth2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5" t="str">
        <x:v>Preliminary Cover Height</x:v>
      </x:c>
      <x:c r="B5" s="45" t="n">
        <x:f>Inputs!$B$22</x:f>
        <x:v>49.75</x:v>
      </x:c>
      <x:c r="C5" s="45" t="str">
        <x:v>mm</x:v>
      </x:c>
      <x:c r="D5" s="45" t="str">
        <x:v>Depth -0.25mm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5" t="str">
        <x:v>Lid Curve Height</x:v>
      </x:c>
      <x:c r="B6" s="45" t="n">
        <x:f>Inputs!$B$13</x:f>
        <x:v>14.25</x:v>
      </x:c>
      <x:c r="C6" s="45" t="str">
        <x:v>mm</x:v>
      </x:c>
      <x:c r="D6" s="45" t="str">
        <x:v>14.25mm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5" t="str">
        <x:v>Preliminary Envelope Height</x:v>
      </x:c>
      <x:c r="B7" s="45" t="n">
        <x:f>Inputs!$B$6+2*Inputs!$B$22+2*Inputs!$B$13</x:f>
        <x:v>328</x:v>
      </x:c>
      <x:c r="C7" s="45" t="str">
        <x:v>mm</x:v>
      </x:c>
      <x:c r="D7" s="45" t="str">
        <x:v>Height + 2*CoverHeight + 2*LidTongueHeight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5" t="str">
        <x:v>Horizontal Gap</x:v>
      </x:c>
      <x:c r="B8" s="45" t="n">
        <x:f>Inputs!$B$9</x:f>
        <x:v>5</x:v>
      </x:c>
      <x:c r="C8" s="45" t="str">
        <x:v>mm</x:v>
      </x:c>
      <x:c r="D8" s="45" t="str">
        <x:v>Editable in Inputs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5" t="str">
        <x:v>Vertical Gap</x:v>
      </x:c>
      <x:c r="B9" s="45" t="n">
        <x:f>Inputs!$B$8</x:f>
        <x:v>5</x:v>
      </x:c>
      <x:c r="C9" s="45" t="str">
        <x:v>mm</x:v>
      </x:c>
      <x:c r="D9" s="45" t="str">
        <x:v>Editable in Inputs</x:v>
      </x:c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5" t="str">
        <x:v>Nesting Basis</x:v>
      </x:c>
      <x:c r="B10" s="45" t="str">
        <x:v>Outer_Cut_Contour_Segments</x:v>
      </x:c>
      <x:c r="C10" s="45" t="str">
        <x:v>—</x:v>
      </x:c>
      <x:c r="D10" s="45" t="str">
        <x:v>Final nesting must use actual generated contour, not bounding box only</x:v>
      </x:c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5" t="str">
        <x:v>Collision Basis</x:v>
      </x:c>
      <x:c r="B11" s="45" t="str">
        <x:v>Cut-to-Cut distance</x:v>
      </x:c>
      <x:c r="C11" s="45" t="str">
        <x:v>—</x:v>
      </x:c>
      <x:c r="D11" s="45" t="str">
        <x:v>No overlap between Outer Cut and Attached Cut lines</x:v>
      </x:c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5"/>
      <x:c r="B12" s="45"/>
      <x:c r="C12" s="45"/>
      <x:c r="D12" s="45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80" t="str">
        <x:v>Sheet-Aware Distribution Calculations</x:v>
      </x:c>
      <x:c r="B13" s="80"/>
      <x:c r="C13" s="80"/>
      <x:c r="D13" s="80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81" t="str">
        <x:v>Metric</x:v>
      </x:c>
      <x:c r="B14" s="81" t="str">
        <x:v>Formula / Value</x:v>
      </x:c>
      <x:c r="C14" s="81" t="str">
        <x:v>Unit</x:v>
      </x:c>
      <x:c r="D14" s="81" t="str">
        <x:v>Rule / Note</x:v>
      </x:c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82" t="str">
        <x:v>Sheet Width</x:v>
      </x:c>
      <x:c r="B15" s="83" t="n">
        <x:f>Inputs!$B$31</x:f>
        <x:v>700</x:v>
      </x:c>
      <x:c r="C15" s="45" t="str">
        <x:v>mm</x:v>
      </x:c>
      <x:c r="D15" s="45" t="str">
        <x:v>Editable in Inputs</x:v>
      </x:c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82" t="str">
        <x:v>Sheet Height</x:v>
      </x:c>
      <x:c r="B16" s="83" t="n">
        <x:f>Inputs!$B$32</x:f>
        <x:v>1000</x:v>
      </x:c>
      <x:c r="C16" s="45" t="str">
        <x:v>mm</x:v>
      </x:c>
      <x:c r="D16" s="45" t="str">
        <x:v>Editable in Inputs</x:v>
      </x:c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82" t="str">
        <x:v>Usable Sheet Width</x:v>
      </x:c>
      <x:c r="B17" s="83" t="n">
        <x:f>Inputs!$B$35</x:f>
        <x:v>700</x:v>
      </x:c>
      <x:c r="C17" s="45" t="str">
        <x:v>mm</x:v>
      </x:c>
      <x:c r="D17" s="45" t="str">
        <x:v>Sheet_Width - 2*Sheet_Margin; Sheet_Margin default = 0 editable</x:v>
      </x:c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82" t="str">
        <x:v>Usable Sheet Height</x:v>
      </x:c>
      <x:c r="B18" s="83" t="n">
        <x:f>Inputs!$B$36</x:f>
        <x:v>1000</x:v>
      </x:c>
      <x:c r="C18" s="45" t="str">
        <x:v>mm</x:v>
      </x:c>
      <x:c r="D18" s="45" t="str">
        <x:v>Sheet_Height - 2*Sheet_Margin - Gripper; Gripper default = 0 editable</x:v>
      </x:c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82" t="str">
        <x:v>Normal Pitch X</x:v>
      </x:c>
      <x:c r="B19" s="83" t="n">
        <x:f>B4+B8</x:f>
        <x:v>509.5</x:v>
      </x:c>
      <x:c r="C19" s="45" t="str">
        <x:v>mm</x:v>
      </x:c>
      <x:c r="D19" s="45" t="str">
        <x:v>Template width + horizontal gap</x:v>
      </x:c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82" t="str">
        <x:v>Normal Pitch Y</x:v>
      </x:c>
      <x:c r="B20" s="83" t="n">
        <x:f>B7+B9</x:f>
        <x:v>333</x:v>
      </x:c>
      <x:c r="C20" s="45" t="str">
        <x:v>mm</x:v>
      </x:c>
      <x:c r="D20" s="45" t="str">
        <x:v>Template height + vertical gap</x:v>
      </x:c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82" t="str">
        <x:v>Normal Columns</x:v>
      </x:c>
      <x:c r="B21" s="83" t="n">
        <x:f>MAX(0,INT(B17/B19))</x:f>
        <x:v>1</x:v>
      </x:c>
      <x:c r="C21" s="45" t="str">
        <x:v>pcs</x:v>
      </x:c>
      <x:c r="D21" s="45" t="str">
        <x:v>Preliminary columns; true-shape nesting still checked by contour/collision</x:v>
      </x:c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82" t="str">
        <x:v>Normal Rows</x:v>
      </x:c>
      <x:c r="B22" s="83" t="n">
        <x:f>MAX(0,INT(B18/B20))</x:f>
        <x:v>3</x:v>
      </x:c>
      <x:c r="C22" s="45" t="str">
        <x:v>pcs</x:v>
      </x:c>
      <x:c r="D22" s="45" t="str">
        <x:v>Preliminary rows</x:v>
      </x:c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82" t="str">
        <x:v>Normal Total</x:v>
      </x:c>
      <x:c r="B23" s="83" t="n">
        <x:f>B21*B22</x:f>
        <x:v>3</x:v>
      </x:c>
      <x:c r="C23" s="45" t="str">
        <x:v>pcs/sheet</x:v>
      </x:c>
      <x:c r="D23" s="45" t="str">
        <x:v>Normal orientation count</x:v>
      </x:c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82" t="str">
        <x:v>Rotated 90 Total</x:v>
      </x:c>
      <x:c r="B24" s="83" t="n">
        <x:f>IF(Inputs!$B$37="Yes",MAX(0,INT(B17/(B7+B8)))*MAX(0,INT(B18/(B4+B9))),0)</x:f>
        <x:v>2</x:v>
      </x:c>
      <x:c r="C24" s="45" t="str">
        <x:v>pcs/sheet</x:v>
      </x:c>
      <x:c r="D24" s="45" t="str">
        <x:v>Rotated orientation preliminary count</x:v>
      </x:c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82" t="str">
        <x:v>Best Total</x:v>
      </x:c>
      <x:c r="B25" s="83" t="n">
        <x:f>IF(Inputs!$B$38="Normal",B23,IF(Inputs!$B$38="Rotated",B24,MAX(B23,B24)))</x:f>
        <x:v>3</x:v>
      </x:c>
      <x:c r="C25" s="45" t="str">
        <x:v>pcs/sheet</x:v>
      </x:c>
      <x:c r="D25" s="45" t="str">
        <x:v>Best count based on Rotation_Mode</x:v>
      </x:c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82" t="str">
        <x:v>Best Orientation</x:v>
      </x:c>
      <x:c r="B26" s="83" t="str">
        <x:f>IF(Inputs!$B$38="Normal","Normal",IF(Inputs!$B$38="Rotated","Rotated 90°",IF(B24&gt;B23,"Rotated 90°","Normal")))</x:f>
        <x:v>Normal</x:v>
      </x:c>
      <x:c r="C26" s="45" t="str">
        <x:v>—</x:v>
      </x:c>
      <x:c r="D26" s="45" t="str">
        <x:v>Auto chooses higher count</x:v>
      </x:c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82" t="str">
        <x:v>Fits Normal?</x:v>
      </x:c>
      <x:c r="B27" s="83" t="str">
        <x:f>IF(AND(B4&lt;=B17,B7&lt;=B18),"Yes","No")</x:f>
        <x:v>Yes</x:v>
      </x:c>
      <x:c r="C27" s="45" t="str">
        <x:v>Yes/No</x:v>
      </x:c>
      <x:c r="D27" s="45" t="str">
        <x:v>Bounding preliminary only; actual check uses contour</x:v>
      </x:c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82" t="str">
        <x:v>Fits Rotated?</x:v>
      </x:c>
      <x:c r="B28" s="83" t="str">
        <x:f>IF(AND(B7&lt;=B17,B4&lt;=B18),"Yes","No")</x:f>
        <x:v>Yes</x:v>
      </x:c>
      <x:c r="C28" s="45" t="str">
        <x:v>Yes/No</x:v>
      </x:c>
      <x:c r="D28" s="45" t="str">
        <x:v>Only relevant if rotation is allowed</x:v>
      </x:c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82" t="str">
        <x:v>True Shape Nesting Note</x:v>
      </x:c>
      <x:c r="B29" s="83" t="str">
        <x:v>Use Outer_Cut_Contour_Segments + Attached_Cut_Lines + Collision_Check</x:v>
      </x:c>
      <x:c r="C29" s="45" t="str">
        <x:v>—</x:v>
      </x:c>
      <x:c r="D29" s="45" t="str">
        <x:v>Final nesting must not rely on rectangle only</x:v>
      </x:c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H1"/>
    <x:mergeCell ref="A13:D13"/>
  </x:mergeCells>
  <x:pageMargins left="0.7" right="0.7" top="0.75" bottom="0.75" header="0.3" footer="0.3"/>
  <x:tableParts count="1">
    <x:tablePart xmlns:r="http://schemas.openxmlformats.org/officeDocument/2006/relationships" r:id="Rc938e189d3cf4e3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55" hidden="0" customWidth="1"/>
  </x:cols>
  <x:sheetData>
    <x:row r="1" ht="28" customHeight="1">
      <x:c r="A1" s="42" t="str">
        <x:v>Collision Check — Rules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Check</x:v>
      </x:c>
      <x:c r="B3" s="44" t="str">
        <x:v>Status / Formula</x:v>
      </x:c>
      <x:c r="C3" s="44" t="str">
        <x:v>Reason</x:v>
      </x:c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5" t="str">
        <x:v>All required Outer Lines present</x:v>
      </x:c>
      <x:c r="B4" s="45" t="str">
        <x:v>PASS</x:v>
      </x:c>
      <x:c r="C4" s="45" t="str">
        <x:v>LINE_1 to LINE_47 present in MAP(1).svg</x:v>
      </x:c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5" t="str">
        <x:v>All Attached Cut Lines present</x:v>
      </x:c>
      <x:c r="B5" s="45" t="str">
        <x:v>PASS</x:v>
      </x:c>
      <x:c r="C5" s="45" t="str">
        <x:v>CUT_48 to CUT_55 present in MAP(1).svg</x:v>
      </x:c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5" t="str">
        <x:v>All Crease Lines present</x:v>
      </x:c>
      <x:c r="B6" s="45" t="str">
        <x:v>PASS</x:v>
      </x:c>
      <x:c r="C6" s="45" t="str">
        <x:v>CREASE_56 to CREASE_67 present in MAP(1).svg</x:v>
      </x:c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5" t="str">
        <x:v>Cut/Crease separation</x:v>
      </x:c>
      <x:c r="B7" s="45" t="str">
        <x:v>PASS</x:v>
      </x:c>
      <x:c r="C7" s="45" t="str">
        <x:v>Separate sheets and types used</x:v>
      </x:c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5" t="str">
        <x:v>Curve preservation</x:v>
      </x:c>
      <x:c r="B8" s="45" t="str">
        <x:v>REQUIRED</x:v>
      </x:c>
      <x:c r="C8" s="45" t="str">
        <x:v>Segments 12,14,41,43 must be preserved Bezier curves; no global scaling</x:v>
      </x:c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5" t="str">
        <x:v>True-shape nesting</x:v>
      </x:c>
      <x:c r="B9" s="45" t="str">
        <x:v>REQUIRED</x:v>
      </x:c>
      <x:c r="C9" s="45" t="str">
        <x:v>Use contour geometry plus collision checks; bounding box is preliminary only</x:v>
      </x:c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5" t="str">
        <x:v>Direction source</x:v>
      </x:c>
      <x:c r="B10" s="45" t="str">
        <x:v>REQUIRED</x:v>
      </x:c>
      <x:c r="C10" s="45" t="str">
        <x:v>Use Extension Direction columns, not raw SVG x1/y1→x2/y2 direction</x:v>
      </x:c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5" t="str">
        <x:v>Preview = Export</x:v>
      </x:c>
      <x:c r="B11" s="45" t="str">
        <x:v>REQUIRED</x:v>
      </x:c>
      <x:c r="C11" s="45" t="str">
        <x:v>Same geometry rules must generate both preview and export</x:v>
      </x:c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89" t="str">
        <x:v>Sheet / Distribution Validation</x:v>
      </x:c>
      <x:c r="B13" s="89"/>
      <x:c r="C13" s="89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90" t="str">
        <x:v>Check</x:v>
      </x:c>
      <x:c r="B14" s="90" t="str">
        <x:v>Formula / Status</x:v>
      </x:c>
      <x:c r="C14" s="90" t="str">
        <x:v>Rule</x:v>
      </x:c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82" t="str">
        <x:v>Usable sheet size exists</x:v>
      </x:c>
      <x:c r="B15" s="91" t="str">
        <x:f>IF(AND(Inputs!$B$35&gt;0,Inputs!$B$36&gt;0),"OK","ERROR")</x:f>
        <x:v>OK</x:v>
      </x:c>
      <x:c r="C15" s="45" t="str">
        <x:v>Usable width and height must be positive</x:v>
      </x:c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82" t="str">
        <x:v>Template fits selected orientation</x:v>
      </x:c>
      <x:c r="B16" s="91" t="str">
        <x:f>IF(Smart_Nesting_Gap_Model!$B$25&gt;0,"OK","NO FIT")</x:f>
        <x:v>OK</x:v>
      </x:c>
      <x:c r="C16" s="45" t="str">
        <x:v>Best count must be greater than zero</x:v>
      </x:c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82" t="str">
        <x:v>Rotation allowed flag</x:v>
      </x:c>
      <x:c r="B17" s="91" t="str">
        <x:f>Inputs!$B$37</x:f>
        <x:v>Yes</x:v>
      </x:c>
      <x:c r="C17" s="45" t="str">
        <x:v>Yes/No from Inputs</x:v>
      </x:c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82" t="str">
        <x:v>Selected best orientation</x:v>
      </x:c>
      <x:c r="B18" s="91" t="str">
        <x:f>Smart_Nesting_Gap_Model!$B$26</x:f>
        <x:v>Normal</x:v>
      </x:c>
      <x:c r="C18" s="45" t="str">
        <x:v>Auto/forced orientation result</x:v>
      </x:c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82" t="str">
        <x:v>Best pieces per sheet</x:v>
      </x:c>
      <x:c r="B19" s="91" t="n">
        <x:f>Smart_Nesting_Gap_Model!$B$25</x:f>
        <x:v>3</x:v>
      </x:c>
      <x:c r="C19" s="45" t="str">
        <x:v>Preliminary count; final must pass cut collision</x:v>
      </x:c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H1"/>
    <x:mergeCell ref="A13:C13"/>
  </x:mergeCells>
  <x:pageMargins left="0.7" right="0.7" top="0.75" bottom="0.75" header="0.3" footer="0.3"/>
  <x:tableParts count="1">
    <x:tablePart xmlns:r="http://schemas.openxmlformats.org/officeDocument/2006/relationships" r:id="R0f768a4ba8c04ea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.5" hidden="0" customWidth="1"/>
    <x:col min="2" max="2" width="80" hidden="0" customWidth="1"/>
  </x:cols>
  <x:sheetData>
    <x:row r="1" ht="28" customHeight="1">
      <x:c r="A1" s="42" t="str">
        <x:v>Notes and Validation Rules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Rule</x:v>
      </x:c>
      <x:c r="B3" s="44" t="str">
        <x:v>Details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5" t="str">
        <x:v>Excel purpose</x:v>
      </x:c>
      <x:c r="B4" s="45" t="str">
        <x:v>Interactive Dynamic Geometry Blueprint — not a costing file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5" t="str">
        <x:v>Single source of truth</x:v>
      </x:c>
      <x:c r="B5" s="45" t="str">
        <x:v>Inputs + segment rules drive geometry; SVG is reference for location/mapping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5" t="str">
        <x:v>No global stretch</x:v>
      </x:c>
      <x:c r="B6" s="45" t="str">
        <x:v>Do not scale entire SVG uniformly or non-uniformly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5" t="str">
        <x:v>Curve handling</x:v>
      </x:c>
      <x:c r="B7" s="45" t="str">
        <x:v>Preserved Bezier Curve / Mirrored Preserved Bezier Curve for segments 12,14,41,43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5" t="str">
        <x:v>Face offset</x:v>
      </x:c>
      <x:c r="B8" s="45" t="str">
        <x:v>Face_Height = Height + 0.5mm constant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5" t="str">
        <x:v>Depth offset</x:v>
      </x:c>
      <x:c r="B9" s="45" t="str">
        <x:v>Depth_2 = Depth - 0.5mm constant</x:v>
      </x:c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5" t="str">
        <x:v>Cover vertical rule</x:v>
      </x:c>
      <x:c r="B10" s="45" t="str">
        <x:v>Segments 10,16,39,45 use Depth - 0.25mm</x:v>
      </x:c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5" t="str">
        <x:v>Cut lines</x:v>
      </x:c>
      <x:c r="B11" s="45" t="str">
        <x:v>Segments 48-55 are real cut lines, not creases</x:v>
      </x:c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5" t="str">
        <x:v>Creases</x:v>
      </x:c>
      <x:c r="B12" s="45" t="str">
        <x:v>Segments 56-67 are fold/reference lines and do not enter outer cut contour</x:v>
      </x:c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5" t="str">
        <x:v>Nesting</x:v>
      </x:c>
      <x:c r="B13" s="45" t="str">
        <x:v>Use actual outer contour and attached cut collision, not bounding box only</x:v>
      </x:c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5" t="str">
        <x:v>Direction</x:v>
      </x:c>
      <x:c r="B14" s="45" t="str">
        <x:v>Always use Extension Direction and Anchor rules; raw SVG coordinate order is not authoritative</x:v>
      </x:c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94" t="str">
        <x:v>Sheet Size / Distribution Rule</x:v>
      </x:c>
      <x:c r="B16" s="95" t="str">
        <x:v>Inputs must include Sheet_Width, Sheet_Height, Sheet_Margin, Gripper, Allow_Rotation, and Rotation_Mode. Smart_Nesting_Gap_Model must calculate preliminary counts, while final placement must use actual Outer Cut contour and Collision_Check.</x:v>
      </x:c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3a73e1311fa4b2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54" hidden="0" customWidth="1"/>
  </x:cols>
  <x:sheetData>
    <x:row r="1" ht="28" customHeight="1">
      <x:c r="A1" s="42" t="str">
        <x:v>SVG Source Map Coordinates — MAP(1).svg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0" customHeight="1">
      <x:c r="A3" s="44" t="str">
        <x:v>ID</x:v>
      </x:c>
      <x:c r="B3" s="44" t="str">
        <x:v>Kind</x:v>
      </x:c>
      <x:c r="C3" s="44" t="str">
        <x:v>SVG Direction</x:v>
      </x:c>
      <x:c r="D3" s="44" t="str">
        <x:v>x1</x:v>
      </x:c>
      <x:c r="E3" s="44" t="str">
        <x:v>y1</x:v>
      </x:c>
      <x:c r="F3" s="44" t="str">
        <x:v>x2</x:v>
      </x:c>
      <x:c r="G3" s="44" t="str">
        <x:v>y2</x:v>
      </x:c>
      <x:c r="H3" s="44" t="str">
        <x:v>dx</x:v>
      </x:c>
      <x:c r="I3" s="44" t="str">
        <x:v>dy</x:v>
      </x:c>
      <x:c r="J3" s="44" t="str">
        <x:v>Note</x:v>
      </x:c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>
      <x:c r="A4" s="43" t="str">
        <x:v>LINE_1</x:v>
      </x:c>
      <x:c r="B4" s="43" t="str">
        <x:v>LINE</x:v>
      </x:c>
      <x:c r="C4" s="43" t="str">
        <x:v>Down-Left</x:v>
      </x:c>
      <x:c r="D4" s="52" t="n">
        <x:v>34.51575</x:v>
      </x:c>
      <x:c r="E4" s="52" t="n">
        <x:v>153.57086</x:v>
      </x:c>
      <x:c r="F4" s="52" t="n">
        <x:v>0.5</x:v>
      </x:c>
      <x:c r="G4" s="52" t="n">
        <x:v>169.43268</x:v>
      </x:c>
      <x:c r="H4" s="52" t="n">
        <x:v>-34.01575</x:v>
      </x:c>
      <x:c r="I4" s="52" t="n">
        <x:v>15.861819999999994</x:v>
      </x:c>
      <x:c r="J4" s="43" t="str">
        <x:v>SVG coordinate direction only; not authoritative for dynamic extension</x:v>
      </x:c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>
      <x:c r="A5" s="43" t="str">
        <x:v>LINE_2</x:v>
      </x:c>
      <x:c r="B5" s="43" t="str">
        <x:v>LINE</x:v>
      </x:c>
      <x:c r="C5" s="43" t="str">
        <x:v>Left</x:v>
      </x:c>
      <x:c r="D5" s="52" t="n">
        <x:v>176.24811</x:v>
      </x:c>
      <x:c r="E5" s="52" t="n">
        <x:v>153.57086</x:v>
      </x:c>
      <x:c r="F5" s="52" t="n">
        <x:v>34.51575</x:v>
      </x:c>
      <x:c r="G5" s="52" t="n">
        <x:v>153.57086</x:v>
      </x:c>
      <x:c r="H5" s="52" t="n">
        <x:v>-141.73236</x:v>
      </x:c>
      <x:c r="I5" s="52" t="n">
        <x:v>0</x:v>
      </x:c>
      <x:c r="J5" s="43" t="str">
        <x:v>SVG coordinate direction only; not authoritative for dynamic extension</x:v>
      </x:c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>
      <x:c r="A6" s="43" t="str">
        <x:v>LINE_3</x:v>
      </x:c>
      <x:c r="B6" s="43" t="str">
        <x:v>LINE</x:v>
      </x:c>
      <x:c r="C6" s="43" t="str">
        <x:v>Left</x:v>
      </x:c>
      <x:c r="D6" s="52" t="n">
        <x:v>178.37408</x:v>
      </x:c>
      <x:c r="E6" s="52" t="n">
        <x:v>153.57086</x:v>
      </x:c>
      <x:c r="F6" s="52" t="n">
        <x:v>176.24811</x:v>
      </x:c>
      <x:c r="G6" s="52" t="n">
        <x:v>153.57086</x:v>
      </x:c>
      <x:c r="H6" s="52" t="n">
        <x:v>-2.1259699999999953</x:v>
      </x:c>
      <x:c r="I6" s="52" t="n">
        <x:v>0</x:v>
      </x:c>
      <x:c r="J6" s="43" t="str">
        <x:v>SVG coordinate direction only; not authoritative for dynamic extension</x:v>
      </x:c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>
      <x:c r="A7" s="43" t="str">
        <x:v>LINE_4</x:v>
      </x:c>
      <x:c r="B7" s="43" t="str">
        <x:v>LINE</x:v>
      </x:c>
      <x:c r="C7" s="43" t="str">
        <x:v>Down</x:v>
      </x:c>
      <x:c r="D7" s="52" t="n">
        <x:v>178.37408</x:v>
      </x:c>
      <x:c r="E7" s="52" t="n">
        <x:v>139.39764</x:v>
      </x:c>
      <x:c r="F7" s="52" t="n">
        <x:v>178.37408</x:v>
      </x:c>
      <x:c r="G7" s="52" t="n">
        <x:v>153.57086</x:v>
      </x:c>
      <x:c r="H7" s="52" t="n">
        <x:v>0</x:v>
      </x:c>
      <x:c r="I7" s="52" t="n">
        <x:v>14.173220000000015</x:v>
      </x:c>
      <x:c r="J7" s="43" t="str">
        <x:v>SVG coordinate direction only; not authoritative for dynamic extension</x:v>
      </x:c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>
      <x:c r="A8" s="43" t="str">
        <x:v>LINE_5</x:v>
      </x:c>
      <x:c r="B8" s="43" t="str">
        <x:v>LINE</x:v>
      </x:c>
      <x:c r="C8" s="43" t="str">
        <x:v>Down-Left</x:v>
      </x:c>
      <x:c r="D8" s="52" t="n">
        <x:v>184.04333</x:v>
      </x:c>
      <x:c r="E8" s="52" t="n">
        <x:v>133.72833</x:v>
      </x:c>
      <x:c r="F8" s="52" t="n">
        <x:v>178.37408</x:v>
      </x:c>
      <x:c r="G8" s="52" t="n">
        <x:v>139.39764</x:v>
      </x:c>
      <x:c r="H8" s="52" t="n">
        <x:v>-5.669250000000005</x:v>
      </x:c>
      <x:c r="I8" s="52" t="n">
        <x:v>5.669309999999996</x:v>
      </x:c>
      <x:c r="J8" s="43" t="str">
        <x:v>SVG coordinate direction only; not authoritative for dynamic extension</x:v>
      </x:c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>
      <x:c r="A9" s="43" t="str">
        <x:v>LINE_6</x:v>
      </x:c>
      <x:c r="B9" s="43" t="str">
        <x:v>LINE</x:v>
      </x:c>
      <x:c r="C9" s="43" t="str">
        <x:v>Down-Left</x:v>
      </x:c>
      <x:c r="D9" s="52" t="n">
        <x:v>199.23419</x:v>
      </x:c>
      <x:c r="E9" s="52" t="n">
        <x:v>77.03546</x:v>
      </x:c>
      <x:c r="F9" s="52" t="n">
        <x:v>184.04333</x:v>
      </x:c>
      <x:c r="G9" s="52" t="n">
        <x:v>133.72833</x:v>
      </x:c>
      <x:c r="H9" s="52" t="n">
        <x:v>-15.190860000000015</x:v>
      </x:c>
      <x:c r="I9" s="52" t="n">
        <x:v>56.69287</x:v>
      </x:c>
      <x:c r="J9" s="43" t="str">
        <x:v>SVG coordinate direction only; not authoritative for dynamic extension</x:v>
      </x:c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>
      <x:c r="A10" s="43" t="str">
        <x:v>LINE_7</x:v>
      </x:c>
      <x:c r="B10" s="43" t="str">
        <x:v>LINE</x:v>
      </x:c>
      <x:c r="C10" s="43" t="str">
        <x:v>Left</x:v>
      </x:c>
      <x:c r="D10" s="52" t="n">
        <x:v>275.46069</x:v>
      </x:c>
      <x:c r="E10" s="52" t="n">
        <x:v>77.03546</x:v>
      </x:c>
      <x:c r="F10" s="52" t="n">
        <x:v>199.23419</x:v>
      </x:c>
      <x:c r="G10" s="52" t="n">
        <x:v>77.03546</x:v>
      </x:c>
      <x:c r="H10" s="52" t="n">
        <x:v>-76.22649999999999</x:v>
      </x:c>
      <x:c r="I10" s="52" t="n">
        <x:v>0</x:v>
      </x:c>
      <x:c r="J10" s="43" t="str">
        <x:v>SVG coordinate direction only; not authoritative for dynamic extension</x:v>
      </x:c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>
      <x:c r="A11" s="43" t="str">
        <x:v>LINE_8</x:v>
      </x:c>
      <x:c r="B11" s="43" t="str">
        <x:v>LINE</x:v>
      </x:c>
      <x:c r="C11" s="43" t="str">
        <x:v>Up-Left</x:v>
      </x:c>
      <x:c r="D11" s="52" t="n">
        <x:v>281.12994</x:v>
      </x:c>
      <x:c r="E11" s="52" t="n">
        <x:v>145.06696</x:v>
      </x:c>
      <x:c r="F11" s="52" t="n">
        <x:v>275.46069</x:v>
      </x:c>
      <x:c r="G11" s="52" t="n">
        <x:v>77.03546</x:v>
      </x:c>
      <x:c r="H11" s="52" t="n">
        <x:v>-5.669249999999977</x:v>
      </x:c>
      <x:c r="I11" s="52" t="n">
        <x:v>-68.0315</x:v>
      </x:c>
      <x:c r="J11" s="43" t="str">
        <x:v>SVG coordinate direction only; not authoritative for dynamic extension</x:v>
      </x:c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>
      <x:c r="A12" s="43" t="str">
        <x:v>LINE_9</x:v>
      </x:c>
      <x:c r="B12" s="43" t="str">
        <x:v>LINE</x:v>
      </x:c>
      <x:c r="C12" s="43" t="str">
        <x:v>Up-Left</x:v>
      </x:c>
      <x:c r="D12" s="52" t="n">
        <x:v>289.63387</x:v>
      </x:c>
      <x:c r="E12" s="52" t="n">
        <x:v>153.57086</x:v>
      </x:c>
      <x:c r="F12" s="52" t="n">
        <x:v>281.12991</x:v>
      </x:c>
      <x:c r="G12" s="52" t="n">
        <x:v>145.06696</x:v>
      </x:c>
      <x:c r="H12" s="52" t="n">
        <x:v>-8.503960000000006</x:v>
      </x:c>
      <x:c r="I12" s="52" t="n">
        <x:v>-8.503900000000016</x:v>
      </x:c>
      <x:c r="J12" s="43" t="str">
        <x:v>SVG coordinate direction only; not authoritative for dynamic extension</x:v>
      </x:c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>
      <x:c r="A13" s="43" t="str">
        <x:v>LINE_10</x:v>
      </x:c>
      <x:c r="B13" s="43" t="str">
        <x:v>LINE</x:v>
      </x:c>
      <x:c r="C13" s="43" t="str">
        <x:v>Down</x:v>
      </x:c>
      <x:c r="D13" s="52" t="n">
        <x:v>289.63386</x:v>
      </x:c>
      <x:c r="E13" s="52" t="n">
        <x:v>40.89368</x:v>
      </x:c>
      <x:c r="F13" s="52" t="n">
        <x:v>289.63386</x:v>
      </x:c>
      <x:c r="G13" s="52" t="n">
        <x:v>153.57086</x:v>
      </x:c>
      <x:c r="H13" s="52" t="n">
        <x:v>0</x:v>
      </x:c>
      <x:c r="I13" s="52" t="n">
        <x:v>112.67718</x:v>
      </x:c>
      <x:c r="J13" s="43" t="str">
        <x:v>SVG coordinate direction only; not authoritative for dynamic extension</x:v>
      </x:c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>
      <x:c r="A14" s="43" t="str">
        <x:v>LINE_11</x:v>
      </x:c>
      <x:c r="B14" s="43" t="str">
        <x:v>LINE</x:v>
      </x:c>
      <x:c r="C14" s="43" t="str">
        <x:v>Down-Right</x:v>
      </x:c>
      <x:c r="D14" s="52" t="n">
        <x:v>289.63387</x:v>
      </x:c>
      <x:c r="E14" s="52" t="n">
        <x:v>40.89339</x:v>
      </x:c>
      <x:c r="F14" s="52" t="n">
        <x:v>291.05117</x:v>
      </x:c>
      <x:c r="G14" s="52" t="n">
        <x:v>40.8934</x:v>
      </x:c>
      <x:c r="H14" s="52" t="n">
        <x:v>1.4173000000000116</x:v>
      </x:c>
      <x:c r="I14" s="52" t="n">
        <x:v>0.000010000000003174137</x:v>
      </x:c>
      <x:c r="J14" s="43" t="str">
        <x:v>SVG coordinate direction only; not authoritative for dynamic extension</x:v>
      </x:c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>
      <x:c r="A15" s="43" t="str">
        <x:v>LINE_13</x:v>
      </x:c>
      <x:c r="B15" s="43" t="str">
        <x:v>LINE</x:v>
      </x:c>
      <x:c r="C15" s="43" t="str">
        <x:v>Left</x:v>
      </x:c>
      <x:c r="D15" s="52" t="n">
        <x:v>408.03772</x:v>
      </x:c>
      <x:c r="E15" s="52" t="n">
        <x:v>0.5</x:v>
      </x:c>
      <x:c r="F15" s="52" t="n">
        <x:v>312.96234</x:v>
      </x:c>
      <x:c r="G15" s="52" t="n">
        <x:v>0.5</x:v>
      </x:c>
      <x:c r="H15" s="52" t="n">
        <x:v>-95.07538</x:v>
      </x:c>
      <x:c r="I15" s="52" t="n">
        <x:v>0</x:v>
      </x:c>
      <x:c r="J15" s="43" t="str">
        <x:v>SVG coordinate direction only; not authoritative for dynamic extension</x:v>
      </x:c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>
      <x:c r="A16" s="43" t="str">
        <x:v>LINE_15</x:v>
      </x:c>
      <x:c r="B16" s="43" t="str">
        <x:v>LINE</x:v>
      </x:c>
      <x:c r="C16" s="43" t="str">
        <x:v>Up-Left</x:v>
      </x:c>
      <x:c r="D16" s="52" t="n">
        <x:v>431.36616</x:v>
      </x:c>
      <x:c r="E16" s="52" t="n">
        <x:v>40.89336</x:v>
      </x:c>
      <x:c r="F16" s="52" t="n">
        <x:v>429.9488</x:v>
      </x:c>
      <x:c r="G16" s="52" t="n">
        <x:v>40.89335</x:v>
      </x:c>
      <x:c r="H16" s="52" t="n">
        <x:v>-1.4173599999999738</x:v>
      </x:c>
      <x:c r="I16" s="52" t="n">
        <x:v>-0.000010000000003174137</x:v>
      </x:c>
      <x:c r="J16" s="43" t="str">
        <x:v>SVG coordinate direction only; not authoritative for dynamic extension</x:v>
      </x:c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>
      <x:c r="A17" s="43" t="str">
        <x:v>LINE_16</x:v>
      </x:c>
      <x:c r="B17" s="43" t="str">
        <x:v>LINE</x:v>
      </x:c>
      <x:c r="C17" s="43" t="str">
        <x:v>Up</x:v>
      </x:c>
      <x:c r="D17" s="52" t="n">
        <x:v>431.36621</x:v>
      </x:c>
      <x:c r="E17" s="52" t="n">
        <x:v>153.57086</x:v>
      </x:c>
      <x:c r="F17" s="52" t="n">
        <x:v>431.36621</x:v>
      </x:c>
      <x:c r="G17" s="52" t="n">
        <x:v>40.89368</x:v>
      </x:c>
      <x:c r="H17" s="52" t="n">
        <x:v>0</x:v>
      </x:c>
      <x:c r="I17" s="52" t="n">
        <x:v>-112.67718</x:v>
      </x:c>
      <x:c r="J17" s="43" t="str">
        <x:v>SVG coordinate direction only; not authoritative for dynamic extension</x:v>
      </x:c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>
      <x:c r="A18" s="43" t="str">
        <x:v>LINE_17</x:v>
      </x:c>
      <x:c r="B18" s="43" t="str">
        <x:v>LINE</x:v>
      </x:c>
      <x:c r="C18" s="43" t="str">
        <x:v>Down-Left</x:v>
      </x:c>
      <x:c r="D18" s="52" t="n">
        <x:v>439.87012</x:v>
      </x:c>
      <x:c r="E18" s="52" t="n">
        <x:v>145.06696</x:v>
      </x:c>
      <x:c r="F18" s="52" t="n">
        <x:v>431.36621</x:v>
      </x:c>
      <x:c r="G18" s="52" t="n">
        <x:v>153.57086</x:v>
      </x:c>
      <x:c r="H18" s="52" t="n">
        <x:v>-8.503909999999962</x:v>
      </x:c>
      <x:c r="I18" s="52" t="n">
        <x:v>8.503900000000016</x:v>
      </x:c>
      <x:c r="J18" s="43" t="str">
        <x:v>SVG coordinate direction only; not authoritative for dynamic extension</x:v>
      </x:c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>
      <x:c r="A19" s="43" t="str">
        <x:v>LINE_18</x:v>
      </x:c>
      <x:c r="B19" s="43" t="str">
        <x:v>LINE</x:v>
      </x:c>
      <x:c r="C19" s="43" t="str">
        <x:v>Down-Left</x:v>
      </x:c>
      <x:c r="D19" s="52" t="n">
        <x:v>445.53943</x:v>
      </x:c>
      <x:c r="E19" s="52" t="n">
        <x:v>77.03546</x:v>
      </x:c>
      <x:c r="F19" s="52" t="n">
        <x:v>439.87012</x:v>
      </x:c>
      <x:c r="G19" s="52" t="n">
        <x:v>145.06696</x:v>
      </x:c>
      <x:c r="H19" s="52" t="n">
        <x:v>-5.669309999999996</x:v>
      </x:c>
      <x:c r="I19" s="52" t="n">
        <x:v>68.0315</x:v>
      </x:c>
      <x:c r="J19" s="43" t="str">
        <x:v>SVG coordinate direction only; not authoritative for dynamic extension</x:v>
      </x:c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>
      <x:c r="A20" s="43" t="str">
        <x:v>LINE_19</x:v>
      </x:c>
      <x:c r="B20" s="43" t="str">
        <x:v>LINE</x:v>
      </x:c>
      <x:c r="C20" s="43" t="str">
        <x:v>Left</x:v>
      </x:c>
      <x:c r="D20" s="52" t="n">
        <x:v>522.47461</x:v>
      </x:c>
      <x:c r="E20" s="52" t="n">
        <x:v>77.03546</x:v>
      </x:c>
      <x:c r="F20" s="52" t="n">
        <x:v>445.53943</x:v>
      </x:c>
      <x:c r="G20" s="52" t="n">
        <x:v>77.03546</x:v>
      </x:c>
      <x:c r="H20" s="52" t="n">
        <x:v>-76.93518</x:v>
      </x:c>
      <x:c r="I20" s="52" t="n">
        <x:v>0</x:v>
      </x:c>
      <x:c r="J20" s="43" t="str">
        <x:v>SVG coordinate direction only; not authoritative for dynamic extension</x:v>
      </x:c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>
      <x:c r="A21" s="43" t="str">
        <x:v>LINE_20</x:v>
      </x:c>
      <x:c r="B21" s="43" t="str">
        <x:v>LINE</x:v>
      </x:c>
      <x:c r="C21" s="43" t="str">
        <x:v>Up-Left</x:v>
      </x:c>
      <x:c r="D21" s="52" t="n">
        <x:v>537.66541</x:v>
      </x:c>
      <x:c r="E21" s="52" t="n">
        <x:v>133.72833</x:v>
      </x:c>
      <x:c r="F21" s="52" t="n">
        <x:v>522.47461</x:v>
      </x:c>
      <x:c r="G21" s="52" t="n">
        <x:v>77.03546</x:v>
      </x:c>
      <x:c r="H21" s="52" t="n">
        <x:v>-15.190799999999967</x:v>
      </x:c>
      <x:c r="I21" s="52" t="n">
        <x:v>-56.69287</x:v>
      </x:c>
      <x:c r="J21" s="43" t="str">
        <x:v>SVG coordinate direction only; not authoritative for dynamic extension</x:v>
      </x:c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>
      <x:c r="A22" s="43" t="str">
        <x:v>LINE_21</x:v>
      </x:c>
      <x:c r="B22" s="43" t="str">
        <x:v>LINE</x:v>
      </x:c>
      <x:c r="C22" s="43" t="str">
        <x:v>Up-Left</x:v>
      </x:c>
      <x:c r="D22" s="52" t="n">
        <x:v>543.33472</x:v>
      </x:c>
      <x:c r="E22" s="52" t="n">
        <x:v>139.39764</x:v>
      </x:c>
      <x:c r="F22" s="52" t="n">
        <x:v>537.66541</x:v>
      </x:c>
      <x:c r="G22" s="52" t="n">
        <x:v>133.72833</x:v>
      </x:c>
      <x:c r="H22" s="52" t="n">
        <x:v>-5.669309999999996</x:v>
      </x:c>
      <x:c r="I22" s="52" t="n">
        <x:v>-5.669309999999996</x:v>
      </x:c>
      <x:c r="J22" s="43" t="str">
        <x:v>SVG coordinate direction only; not authoritative for dynamic extension</x:v>
      </x:c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>
      <x:c r="A23" s="43" t="str">
        <x:v>LINE_22</x:v>
      </x:c>
      <x:c r="B23" s="43" t="str">
        <x:v>LINE</x:v>
      </x:c>
      <x:c r="C23" s="43" t="str">
        <x:v>Up</x:v>
      </x:c>
      <x:c r="D23" s="52" t="n">
        <x:v>543.33472</x:v>
      </x:c>
      <x:c r="E23" s="52" t="n">
        <x:v>153.57086</x:v>
      </x:c>
      <x:c r="F23" s="52" t="n">
        <x:v>543.33472</x:v>
      </x:c>
      <x:c r="G23" s="52" t="n">
        <x:v>139.39764</x:v>
      </x:c>
      <x:c r="H23" s="52" t="n">
        <x:v>0</x:v>
      </x:c>
      <x:c r="I23" s="52" t="n">
        <x:v>-14.173220000000015</x:v>
      </x:c>
      <x:c r="J23" s="43" t="str">
        <x:v>SVG coordinate direction only; not authoritative for dynamic extension</x:v>
      </x:c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>
      <x:c r="A24" s="43" t="str">
        <x:v>LINE_23</x:v>
      </x:c>
      <x:c r="B24" s="43" t="str">
        <x:v>LINE</x:v>
      </x:c>
      <x:c r="C24" s="43" t="str">
        <x:v>Up</x:v>
      </x:c>
      <x:c r="D24" s="52" t="n">
        <x:v>543.33472</x:v>
      </x:c>
      <x:c r="E24" s="52" t="n">
        <x:v>522.07477</x:v>
      </x:c>
      <x:c r="F24" s="52" t="n">
        <x:v>543.33472</x:v>
      </x:c>
      <x:c r="G24" s="52" t="n">
        <x:v>153.57086</x:v>
      </x:c>
      <x:c r="H24" s="52" t="n">
        <x:v>0</x:v>
      </x:c>
      <x:c r="I24" s="52" t="n">
        <x:v>-368.5039099999999</x:v>
      </x:c>
      <x:c r="J24" s="43" t="str">
        <x:v>SVG coordinate direction only; not authoritative for dynamic extension</x:v>
      </x:c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>
      <x:c r="A25" s="43" t="str">
        <x:v>LINE_24</x:v>
      </x:c>
      <x:c r="B25" s="43" t="str">
        <x:v>LINE</x:v>
      </x:c>
      <x:c r="C25" s="43" t="str">
        <x:v>Up-Right</x:v>
      </x:c>
      <x:c r="D25" s="52" t="n">
        <x:v>534.83069</x:v>
      </x:c>
      <x:c r="E25" s="52" t="n">
        <x:v>530.57874</x:v>
      </x:c>
      <x:c r="F25" s="52" t="n">
        <x:v>543.33472</x:v>
      </x:c>
      <x:c r="G25" s="52" t="n">
        <x:v>522.07477</x:v>
      </x:c>
      <x:c r="H25" s="52" t="n">
        <x:v>8.504029999999943</x:v>
      </x:c>
      <x:c r="I25" s="52" t="n">
        <x:v>-8.503970000000095</x:v>
      </x:c>
      <x:c r="J25" s="43" t="str">
        <x:v>SVG coordinate direction only; not authoritative for dynamic extension</x:v>
      </x:c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>
      <x:c r="A26" s="43" t="str">
        <x:v>LINE_25</x:v>
      </x:c>
      <x:c r="B26" s="43" t="str">
        <x:v>LINE</x:v>
      </x:c>
      <x:c r="C26" s="43" t="str">
        <x:v>Up-Right</x:v>
      </x:c>
      <x:c r="D26" s="52" t="n">
        <x:v>529.1615</x:v>
      </x:c>
      <x:c r="E26" s="52" t="n">
        <x:v>598.61023</x:v>
      </x:c>
      <x:c r="F26" s="52" t="n">
        <x:v>534.83069</x:v>
      </x:c>
      <x:c r="G26" s="52" t="n">
        <x:v>530.57874</x:v>
      </x:c>
      <x:c r="H26" s="52" t="n">
        <x:v>5.669189999999958</x:v>
      </x:c>
      <x:c r="I26" s="52" t="n">
        <x:v>-68.03148999999996</x:v>
      </x:c>
      <x:c r="J26" s="43" t="str">
        <x:v>SVG coordinate direction only; not authoritative for dynamic extension</x:v>
      </x:c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>
      <x:c r="A27" s="43" t="str">
        <x:v>LINE_26</x:v>
      </x:c>
      <x:c r="B27" s="43" t="str">
        <x:v>LINE</x:v>
      </x:c>
      <x:c r="C27" s="43" t="str">
        <x:v>Right</x:v>
      </x:c>
      <x:c r="D27" s="52" t="n">
        <x:v>454.35229</x:v>
      </x:c>
      <x:c r="E27" s="52" t="n">
        <x:v>598.61023</x:v>
      </x:c>
      <x:c r="F27" s="52" t="n">
        <x:v>529.1615</x:v>
      </x:c>
      <x:c r="G27" s="52" t="n">
        <x:v>598.61023</x:v>
      </x:c>
      <x:c r="H27" s="52" t="n">
        <x:v>74.80921000000006</x:v>
      </x:c>
      <x:c r="I27" s="52" t="n">
        <x:v>0</x:v>
      </x:c>
      <x:c r="J27" s="43" t="str">
        <x:v>SVG coordinate direction only; not authoritative for dynamic extension</x:v>
      </x:c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>
      <x:c r="A28" s="43" t="str">
        <x:v>LINE_27</x:v>
      </x:c>
      <x:c r="B28" s="43" t="str">
        <x:v>LINE</x:v>
      </x:c>
      <x:c r="C28" s="43" t="str">
        <x:v>Down-Right</x:v>
      </x:c>
      <x:c r="D28" s="52" t="n">
        <x:v>439.1615</x:v>
      </x:c>
      <x:c r="E28" s="52" t="n">
        <x:v>541.9173</x:v>
      </x:c>
      <x:c r="F28" s="52" t="n">
        <x:v>454.35229</x:v>
      </x:c>
      <x:c r="G28" s="52" t="n">
        <x:v>598.61023</x:v>
      </x:c>
      <x:c r="H28" s="52" t="n">
        <x:v>15.190789999999993</x:v>
      </x:c>
      <x:c r="I28" s="52" t="n">
        <x:v>56.69293000000005</x:v>
      </x:c>
      <x:c r="J28" s="43" t="str">
        <x:v>SVG coordinate direction only; not authoritative for dynamic extension</x:v>
      </x:c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>
      <x:c r="A29" s="43" t="str">
        <x:v>LINE_28</x:v>
      </x:c>
      <x:c r="B29" s="43" t="str">
        <x:v>LINE</x:v>
      </x:c>
      <x:c r="C29" s="43" t="str">
        <x:v>Down-Right</x:v>
      </x:c>
      <x:c r="D29" s="52" t="n">
        <x:v>433.49219</x:v>
      </x:c>
      <x:c r="E29" s="52" t="n">
        <x:v>536.24799</x:v>
      </x:c>
      <x:c r="F29" s="52" t="n">
        <x:v>439.1615</x:v>
      </x:c>
      <x:c r="G29" s="52" t="n">
        <x:v>541.9173</x:v>
      </x:c>
      <x:c r="H29" s="52" t="n">
        <x:v>5.669309999999996</x:v>
      </x:c>
      <x:c r="I29" s="52" t="n">
        <x:v>5.669309999999996</x:v>
      </x:c>
      <x:c r="J29" s="43" t="str">
        <x:v>SVG coordinate direction only; not authoritative for dynamic extension</x:v>
      </x:c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>
      <x:c r="A30" s="43" t="str">
        <x:v>LINE_29</x:v>
      </x:c>
      <x:c r="B30" s="43" t="str">
        <x:v>LINE</x:v>
      </x:c>
      <x:c r="C30" s="43" t="str">
        <x:v>Down</x:v>
      </x:c>
      <x:c r="D30" s="52" t="n">
        <x:v>433.49219</x:v>
      </x:c>
      <x:c r="E30" s="52" t="n">
        <x:v>522.07477</x:v>
      </x:c>
      <x:c r="F30" s="52" t="n">
        <x:v>433.49219</x:v>
      </x:c>
      <x:c r="G30" s="52" t="n">
        <x:v>536.24799</x:v>
      </x:c>
      <x:c r="H30" s="52" t="n">
        <x:v>0</x:v>
      </x:c>
      <x:c r="I30" s="52" t="n">
        <x:v>14.173220000000015</x:v>
      </x:c>
      <x:c r="J30" s="43" t="str">
        <x:v>SVG coordinate direction only; not authoritative for dynamic extension</x:v>
      </x:c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>
      <x:c r="A31" s="43" t="str">
        <x:v>LINE_30</x:v>
      </x:c>
      <x:c r="B31" s="43" t="str">
        <x:v>LINE</x:v>
      </x:c>
      <x:c r="C31" s="43" t="str">
        <x:v>Right</x:v>
      </x:c>
      <x:c r="D31" s="52" t="n">
        <x:v>431.36621</x:v>
      </x:c>
      <x:c r="E31" s="52" t="n">
        <x:v>522.07477</x:v>
      </x:c>
      <x:c r="F31" s="52" t="n">
        <x:v>433.49219</x:v>
      </x:c>
      <x:c r="G31" s="52" t="n">
        <x:v>522.07477</x:v>
      </x:c>
      <x:c r="H31" s="52" t="n">
        <x:v>2.12597999999997</x:v>
      </x:c>
      <x:c r="I31" s="52" t="n">
        <x:v>0</x:v>
      </x:c>
      <x:c r="J31" s="43" t="str">
        <x:v>SVG coordinate direction only; not authoritative for dynamic extension</x:v>
      </x:c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>
      <x:c r="A32" s="43" t="str">
        <x:v>LINE_31</x:v>
      </x:c>
      <x:c r="B32" s="43" t="str">
        <x:v>LINE</x:v>
      </x:c>
      <x:c r="C32" s="43" t="str">
        <x:v>Right</x:v>
      </x:c>
      <x:c r="D32" s="52" t="n">
        <x:v>289.63391</x:v>
      </x:c>
      <x:c r="E32" s="52" t="n">
        <x:v>522.07477</x:v>
      </x:c>
      <x:c r="F32" s="52" t="n">
        <x:v>431.36621</x:v>
      </x:c>
      <x:c r="G32" s="52" t="n">
        <x:v>522.07477</x:v>
      </x:c>
      <x:c r="H32" s="52" t="n">
        <x:v>141.7323</x:v>
      </x:c>
      <x:c r="I32" s="52" t="n">
        <x:v>0</x:v>
      </x:c>
      <x:c r="J32" s="43" t="str">
        <x:v>SVG coordinate direction only; not authoritative for dynamic extension</x:v>
      </x:c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>
      <x:c r="A33" s="43" t="str">
        <x:v>LINE_32</x:v>
      </x:c>
      <x:c r="B33" s="43" t="str">
        <x:v>LINE</x:v>
      </x:c>
      <x:c r="C33" s="43" t="str">
        <x:v>Right</x:v>
      </x:c>
      <x:c r="D33" s="52" t="n">
        <x:v>287.50793</x:v>
      </x:c>
      <x:c r="E33" s="52" t="n">
        <x:v>522.07477</x:v>
      </x:c>
      <x:c r="F33" s="52" t="n">
        <x:v>289.63391</x:v>
      </x:c>
      <x:c r="G33" s="52" t="n">
        <x:v>522.07477</x:v>
      </x:c>
      <x:c r="H33" s="52" t="n">
        <x:v>2.125980000000027</x:v>
      </x:c>
      <x:c r="I33" s="52" t="n">
        <x:v>0</x:v>
      </x:c>
      <x:c r="J33" s="43" t="str">
        <x:v>SVG coordinate direction only; not authoritative for dynamic extension</x:v>
      </x:c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>
      <x:c r="A34" s="43" t="str">
        <x:v>LINE_33</x:v>
      </x:c>
      <x:c r="B34" s="43" t="str">
        <x:v>LINE</x:v>
      </x:c>
      <x:c r="C34" s="43" t="str">
        <x:v>Up</x:v>
      </x:c>
      <x:c r="D34" s="52" t="n">
        <x:v>287.50793</x:v>
      </x:c>
      <x:c r="E34" s="52" t="n">
        <x:v>536.24799</x:v>
      </x:c>
      <x:c r="F34" s="52" t="n">
        <x:v>287.50793</x:v>
      </x:c>
      <x:c r="G34" s="52" t="n">
        <x:v>522.07477</x:v>
      </x:c>
      <x:c r="H34" s="52" t="n">
        <x:v>0</x:v>
      </x:c>
      <x:c r="I34" s="52" t="n">
        <x:v>-14.173220000000015</x:v>
      </x:c>
      <x:c r="J34" s="43" t="str">
        <x:v>SVG coordinate direction only; not authoritative for dynamic extension</x:v>
      </x:c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>
      <x:c r="A35" s="43" t="str">
        <x:v>LINE_34</x:v>
      </x:c>
      <x:c r="B35" s="43" t="str">
        <x:v>LINE</x:v>
      </x:c>
      <x:c r="C35" s="43" t="str">
        <x:v>Up-Right</x:v>
      </x:c>
      <x:c r="D35" s="52" t="n">
        <x:v>281.83862</x:v>
      </x:c>
      <x:c r="E35" s="52" t="n">
        <x:v>541.9173</x:v>
      </x:c>
      <x:c r="F35" s="52" t="n">
        <x:v>287.50793</x:v>
      </x:c>
      <x:c r="G35" s="52" t="n">
        <x:v>536.24799</x:v>
      </x:c>
      <x:c r="H35" s="52" t="n">
        <x:v>5.669309999999996</x:v>
      </x:c>
      <x:c r="I35" s="52" t="n">
        <x:v>-5.669309999999996</x:v>
      </x:c>
      <x:c r="J35" s="43" t="str">
        <x:v>SVG coordinate direction only; not authoritative for dynamic extension</x:v>
      </x:c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>
      <x:c r="A36" s="43" t="str">
        <x:v>LINE_35</x:v>
      </x:c>
      <x:c r="B36" s="43" t="str">
        <x:v>LINE</x:v>
      </x:c>
      <x:c r="C36" s="43" t="str">
        <x:v>Up-Right</x:v>
      </x:c>
      <x:c r="D36" s="52" t="n">
        <x:v>266.64783</x:v>
      </x:c>
      <x:c r="E36" s="52" t="n">
        <x:v>598.61023</x:v>
      </x:c>
      <x:c r="F36" s="52" t="n">
        <x:v>281.83862</x:v>
      </x:c>
      <x:c r="G36" s="52" t="n">
        <x:v>541.9173</x:v>
      </x:c>
      <x:c r="H36" s="52" t="n">
        <x:v>15.190789999999993</x:v>
      </x:c>
      <x:c r="I36" s="52" t="n">
        <x:v>-56.69293000000005</x:v>
      </x:c>
      <x:c r="J36" s="43" t="str">
        <x:v>SVG coordinate direction only; not authoritative for dynamic extension</x:v>
      </x:c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>
      <x:c r="A37" s="43" t="str">
        <x:v>LINE_36</x:v>
      </x:c>
      <x:c r="B37" s="43" t="str">
        <x:v>LINE</x:v>
      </x:c>
      <x:c r="C37" s="43" t="str">
        <x:v>Right</x:v>
      </x:c>
      <x:c r="D37" s="52" t="n">
        <x:v>190.42133</x:v>
      </x:c>
      <x:c r="E37" s="52" t="n">
        <x:v>598.61023</x:v>
      </x:c>
      <x:c r="F37" s="52" t="n">
        <x:v>266.64783</x:v>
      </x:c>
      <x:c r="G37" s="52" t="n">
        <x:v>598.61023</x:v>
      </x:c>
      <x:c r="H37" s="52" t="n">
        <x:v>76.22649999999999</x:v>
      </x:c>
      <x:c r="I37" s="52" t="n">
        <x:v>0</x:v>
      </x:c>
      <x:c r="J37" s="43" t="str">
        <x:v>SVG coordinate direction only; not authoritative for dynamic extension</x:v>
      </x:c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>
      <x:c r="A38" s="43" t="str">
        <x:v>LINE_37</x:v>
      </x:c>
      <x:c r="B38" s="43" t="str">
        <x:v>LINE</x:v>
      </x:c>
      <x:c r="C38" s="43" t="str">
        <x:v>Down-Right</x:v>
      </x:c>
      <x:c r="D38" s="52" t="n">
        <x:v>184.75201</x:v>
      </x:c>
      <x:c r="E38" s="52" t="n">
        <x:v>530.57874</x:v>
      </x:c>
      <x:c r="F38" s="52" t="n">
        <x:v>190.42133</x:v>
      </x:c>
      <x:c r="G38" s="52" t="n">
        <x:v>598.61023</x:v>
      </x:c>
      <x:c r="H38" s="52" t="n">
        <x:v>5.669319999999999</x:v>
      </x:c>
      <x:c r="I38" s="52" t="n">
        <x:v>68.03148999999996</x:v>
      </x:c>
      <x:c r="J38" s="43" t="str">
        <x:v>SVG coordinate direction only; not authoritative for dynamic extension</x:v>
      </x:c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>
      <x:c r="A39" s="43" t="str">
        <x:v>LINE_38</x:v>
      </x:c>
      <x:c r="B39" s="43" t="str">
        <x:v>LINE</x:v>
      </x:c>
      <x:c r="C39" s="43" t="str">
        <x:v>Down-Right</x:v>
      </x:c>
      <x:c r="D39" s="52" t="n">
        <x:v>176.24811</x:v>
      </x:c>
      <x:c r="E39" s="52" t="n">
        <x:v>522.07477</x:v>
      </x:c>
      <x:c r="F39" s="52" t="n">
        <x:v>184.75201</x:v>
      </x:c>
      <x:c r="G39" s="52" t="n">
        <x:v>530.57874</x:v>
      </x:c>
      <x:c r="H39" s="52" t="n">
        <x:v>8.503900000000016</x:v>
      </x:c>
      <x:c r="I39" s="52" t="n">
        <x:v>8.503970000000095</x:v>
      </x:c>
      <x:c r="J39" s="43" t="str">
        <x:v>SVG coordinate direction only; not authoritative for dynamic extension</x:v>
      </x:c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>
      <x:c r="A40" s="43" t="str">
        <x:v>LINE_39</x:v>
      </x:c>
      <x:c r="B40" s="43" t="str">
        <x:v>LINE</x:v>
      </x:c>
      <x:c r="C40" s="43" t="str">
        <x:v>Up</x:v>
      </x:c>
      <x:c r="D40" s="52" t="n">
        <x:v>176.24811</x:v>
      </x:c>
      <x:c r="E40" s="52" t="n">
        <x:v>634.75195</x:v>
      </x:c>
      <x:c r="F40" s="52" t="n">
        <x:v>176.24811</x:v>
      </x:c>
      <x:c r="G40" s="52" t="n">
        <x:v>522.07477</x:v>
      </x:c>
      <x:c r="H40" s="52" t="n">
        <x:v>0</x:v>
      </x:c>
      <x:c r="I40" s="52" t="n">
        <x:v>-112.67718000000002</x:v>
      </x:c>
      <x:c r="J40" s="43" t="str">
        <x:v>SVG coordinate direction only; not authoritative for dynamic extension</x:v>
      </x:c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>
      <x:c r="A41" s="43" t="str">
        <x:v>LINE_40</x:v>
      </x:c>
      <x:c r="B41" s="43" t="str">
        <x:v>LINE</x:v>
      </x:c>
      <x:c r="C41" s="43" t="str">
        <x:v>Up-Left</x:v>
      </x:c>
      <x:c r="D41" s="52" t="n">
        <x:v>176.24802</x:v>
      </x:c>
      <x:c r="E41" s="52" t="n">
        <x:v>634.75172</x:v>
      </x:c>
      <x:c r="F41" s="52" t="n">
        <x:v>174.83072</x:v>
      </x:c>
      <x:c r="G41" s="52" t="n">
        <x:v>634.75171</x:v>
      </x:c>
      <x:c r="H41" s="52" t="n">
        <x:v>-1.4172999999999831</x:v>
      </x:c>
      <x:c r="I41" s="52" t="n">
        <x:v>-0.000009999999974752427</x:v>
      </x:c>
      <x:c r="J41" s="43" t="str">
        <x:v>SVG coordinate direction only; not authoritative for dynamic extension</x:v>
      </x:c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>
      <x:c r="A42" s="43" t="str">
        <x:v>LINE_42</x:v>
      </x:c>
      <x:c r="B42" s="43" t="str">
        <x:v>LINE</x:v>
      </x:c>
      <x:c r="C42" s="43" t="str">
        <x:v>Right</x:v>
      </x:c>
      <x:c r="D42" s="52" t="n">
        <x:v>57.84424</x:v>
      </x:c>
      <x:c r="E42" s="52" t="n">
        <x:v>675.14563</x:v>
      </x:c>
      <x:c r="F42" s="52" t="n">
        <x:v>152.91968</x:v>
      </x:c>
      <x:c r="G42" s="52" t="n">
        <x:v>675.14563</x:v>
      </x:c>
      <x:c r="H42" s="52" t="n">
        <x:v>95.07544</x:v>
      </x:c>
      <x:c r="I42" s="52" t="n">
        <x:v>0</x:v>
      </x:c>
      <x:c r="J42" s="43" t="str">
        <x:v>SVG coordinate direction only; not authoritative for dynamic extension</x:v>
      </x:c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>
      <x:c r="A43" s="43" t="str">
        <x:v>LINE_44</x:v>
      </x:c>
      <x:c r="B43" s="43" t="str">
        <x:v>LINE</x:v>
      </x:c>
      <x:c r="C43" s="43" t="str">
        <x:v>Down-Right</x:v>
      </x:c>
      <x:c r="D43" s="52" t="n">
        <x:v>34.51519</x:v>
      </x:c>
      <x:c r="E43" s="52" t="n">
        <x:v>634.75231</x:v>
      </x:c>
      <x:c r="F43" s="52" t="n">
        <x:v>35.93363</x:v>
      </x:c>
      <x:c r="G43" s="52" t="n">
        <x:v>634.75232</x:v>
      </x:c>
      <x:c r="H43" s="52" t="n">
        <x:v>1.418440000000004</x:v>
      </x:c>
      <x:c r="I43" s="52" t="n">
        <x:v>0.000010000000088439265</x:v>
      </x:c>
      <x:c r="J43" s="43" t="str">
        <x:v>SVG coordinate direction only; not authoritative for dynamic extension</x:v>
      </x:c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>
      <x:c r="A44" s="43" t="str">
        <x:v>LINE_45</x:v>
      </x:c>
      <x:c r="B44" s="43" t="str">
        <x:v>LINE</x:v>
      </x:c>
      <x:c r="C44" s="43" t="str">
        <x:v>Down</x:v>
      </x:c>
      <x:c r="D44" s="52" t="n">
        <x:v>34.51575</x:v>
      </x:c>
      <x:c r="E44" s="52" t="n">
        <x:v>522.07477</x:v>
      </x:c>
      <x:c r="F44" s="52" t="n">
        <x:v>34.51575</x:v>
      </x:c>
      <x:c r="G44" s="52" t="n">
        <x:v>634.75195</x:v>
      </x:c>
      <x:c r="H44" s="52" t="n">
        <x:v>0</x:v>
      </x:c>
      <x:c r="I44" s="52" t="n">
        <x:v>112.67718000000002</x:v>
      </x:c>
      <x:c r="J44" s="43" t="str">
        <x:v>SVG coordinate direction only; not authoritative for dynamic extension</x:v>
      </x:c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>
      <x:c r="A45" s="43" t="str">
        <x:v>LINE_46</x:v>
      </x:c>
      <x:c r="B45" s="43" t="str">
        <x:v>LINE</x:v>
      </x:c>
      <x:c r="C45" s="43" t="str">
        <x:v>Up-Left</x:v>
      </x:c>
      <x:c r="D45" s="52" t="n">
        <x:v>34.51575</x:v>
      </x:c>
      <x:c r="E45" s="52" t="n">
        <x:v>522.07479</x:v>
      </x:c>
      <x:c r="F45" s="52" t="n">
        <x:v>0.5</x:v>
      </x:c>
      <x:c r="G45" s="52" t="n">
        <x:v>506.21298</x:v>
      </x:c>
      <x:c r="H45" s="52" t="n">
        <x:v>-34.01575</x:v>
      </x:c>
      <x:c r="I45" s="52" t="n">
        <x:v>-15.861809999999991</x:v>
      </x:c>
      <x:c r="J45" s="43" t="str">
        <x:v>SVG coordinate direction only; not authoritative for dynamic extension</x:v>
      </x:c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>
      <x:c r="A46" s="43" t="str">
        <x:v>LINE_47</x:v>
      </x:c>
      <x:c r="B46" s="43" t="str">
        <x:v>LINE</x:v>
      </x:c>
      <x:c r="C46" s="43" t="str">
        <x:v>Down</x:v>
      </x:c>
      <x:c r="D46" s="52" t="n">
        <x:v>0.5</x:v>
      </x:c>
      <x:c r="E46" s="52" t="n">
        <x:v>169.43268</x:v>
      </x:c>
      <x:c r="F46" s="52" t="n">
        <x:v>0.5</x:v>
      </x:c>
      <x:c r="G46" s="52" t="n">
        <x:v>506.21295</x:v>
      </x:c>
      <x:c r="H46" s="52" t="n">
        <x:v>0</x:v>
      </x:c>
      <x:c r="I46" s="52" t="n">
        <x:v>336.78027</x:v>
      </x:c>
      <x:c r="J46" s="43" t="str">
        <x:v>SVG coordinate direction only; not authoritative for dynamic extension</x:v>
      </x:c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>
      <x:c r="A47" s="43" t="str">
        <x:v>CUT_48</x:v>
      </x:c>
      <x:c r="B47" s="43" t="str">
        <x:v>CUT</x:v>
      </x:c>
      <x:c r="C47" s="43" t="str">
        <x:v>Right</x:v>
      </x:c>
      <x:c r="D47" s="52" t="n">
        <x:v>289.63391</x:v>
      </x:c>
      <x:c r="E47" s="52" t="n">
        <x:v>40.8937</x:v>
      </x:c>
      <x:c r="F47" s="52" t="n">
        <x:v>309.47644</x:v>
      </x:c>
      <x:c r="G47" s="52" t="n">
        <x:v>40.8937</x:v>
      </x:c>
      <x:c r="H47" s="52" t="n">
        <x:v>19.84253000000001</x:v>
      </x:c>
      <x:c r="I47" s="52" t="n">
        <x:v>0</x:v>
      </x:c>
      <x:c r="J47" s="43" t="str">
        <x:v>SVG coordinate direction only; not authoritative for dynamic extension</x:v>
      </x:c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>
      <x:c r="A48" s="43" t="str">
        <x:v>CUT_49</x:v>
      </x:c>
      <x:c r="B48" s="43" t="str">
        <x:v>CUT</x:v>
      </x:c>
      <x:c r="C48" s="43" t="str">
        <x:v>Down-Left</x:v>
      </x:c>
      <x:c r="D48" s="52" t="n">
        <x:v>309.47638</x:v>
      </x:c>
      <x:c r="E48" s="52" t="n">
        <x:v>40.8937</x:v>
      </x:c>
      <x:c r="F48" s="52" t="n">
        <x:v>309.47637</x:v>
      </x:c>
      <x:c r="G48" s="52" t="n">
        <x:v>47.27166</x:v>
      </x:c>
      <x:c r="H48" s="52" t="n">
        <x:v>-0.000010000000031595846</x:v>
      </x:c>
      <x:c r="I48" s="52" t="n">
        <x:v>6.3779599999999945</x:v>
      </x:c>
      <x:c r="J48" s="43" t="str">
        <x:v>SVG coordinate direction only; not authoritative for dynamic extension</x:v>
      </x:c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>
      <x:c r="A49" s="43" t="str">
        <x:v>CUT_50</x:v>
      </x:c>
      <x:c r="B49" s="43" t="str">
        <x:v>CUT</x:v>
      </x:c>
      <x:c r="C49" s="43" t="str">
        <x:v>Left</x:v>
      </x:c>
      <x:c r="D49" s="52" t="n">
        <x:v>431.36621</x:v>
      </x:c>
      <x:c r="E49" s="52" t="n">
        <x:v>40.8937</x:v>
      </x:c>
      <x:c r="F49" s="52" t="n">
        <x:v>411.52368</x:v>
      </x:c>
      <x:c r="G49" s="52" t="n">
        <x:v>40.8937</x:v>
      </x:c>
      <x:c r="H49" s="52" t="n">
        <x:v>-19.84253000000001</x:v>
      </x:c>
      <x:c r="I49" s="52" t="n">
        <x:v>0</x:v>
      </x:c>
      <x:c r="J49" s="43" t="str">
        <x:v>SVG coordinate direction only; not authoritative for dynamic extension</x:v>
      </x:c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>
      <x:c r="A50" s="43" t="str">
        <x:v>CUT_51</x:v>
      </x:c>
      <x:c r="B50" s="43" t="str">
        <x:v>CUT</x:v>
      </x:c>
      <x:c r="C50" s="43" t="str">
        <x:v>Down</x:v>
      </x:c>
      <x:c r="D50" s="52" t="n">
        <x:v>411.52368</x:v>
      </x:c>
      <x:c r="E50" s="52" t="n">
        <x:v>40.8937</x:v>
      </x:c>
      <x:c r="F50" s="52" t="n">
        <x:v>411.52368</x:v>
      </x:c>
      <x:c r="G50" s="52" t="n">
        <x:v>47.27166</x:v>
      </x:c>
      <x:c r="H50" s="52" t="n">
        <x:v>0</x:v>
      </x:c>
      <x:c r="I50" s="52" t="n">
        <x:v>6.3779599999999945</x:v>
      </x:c>
      <x:c r="J50" s="43" t="str">
        <x:v>SVG coordinate direction only; not authoritative for dynamic extension</x:v>
      </x:c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>
      <x:c r="A51" s="43" t="str">
        <x:v>CUT_52</x:v>
      </x:c>
      <x:c r="B51" s="43" t="str">
        <x:v>CUT</x:v>
      </x:c>
      <x:c r="C51" s="43" t="str">
        <x:v>Right</x:v>
      </x:c>
      <x:c r="D51" s="52" t="n">
        <x:v>34.51575</x:v>
      </x:c>
      <x:c r="E51" s="52" t="n">
        <x:v>634.75198</x:v>
      </x:c>
      <x:c r="F51" s="52" t="n">
        <x:v>54.35828</x:v>
      </x:c>
      <x:c r="G51" s="52" t="n">
        <x:v>634.75198</x:v>
      </x:c>
      <x:c r="H51" s="52" t="n">
        <x:v>19.842530000000004</x:v>
      </x:c>
      <x:c r="I51" s="52" t="n">
        <x:v>0</x:v>
      </x:c>
      <x:c r="J51" s="43" t="str">
        <x:v>SVG coordinate direction only; not authoritative for dynamic extension</x:v>
      </x:c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>
      <x:c r="A52" s="43" t="str">
        <x:v>CUT_53</x:v>
      </x:c>
      <x:c r="B52" s="43" t="str">
        <x:v>CUT</x:v>
      </x:c>
      <x:c r="C52" s="43" t="str">
        <x:v>Up</x:v>
      </x:c>
      <x:c r="D52" s="52" t="n">
        <x:v>54.35828</x:v>
      </x:c>
      <x:c r="E52" s="52" t="n">
        <x:v>634.75198</x:v>
      </x:c>
      <x:c r="F52" s="52" t="n">
        <x:v>54.35828</x:v>
      </x:c>
      <x:c r="G52" s="52" t="n">
        <x:v>628.37399</x:v>
      </x:c>
      <x:c r="H52" s="52" t="n">
        <x:v>0</x:v>
      </x:c>
      <x:c r="I52" s="52" t="n">
        <x:v>-6.377989999999954</x:v>
      </x:c>
      <x:c r="J52" s="43" t="str">
        <x:v>SVG coordinate direction only; not authoritative for dynamic extension</x:v>
      </x:c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>
      <x:c r="A53" s="43" t="str">
        <x:v>CUT_54</x:v>
      </x:c>
      <x:c r="B53" s="43" t="str">
        <x:v>CUT</x:v>
      </x:c>
      <x:c r="C53" s="43" t="str">
        <x:v>Left</x:v>
      </x:c>
      <x:c r="D53" s="52" t="n">
        <x:v>176.24811</x:v>
      </x:c>
      <x:c r="E53" s="52" t="n">
        <x:v>634.75198</x:v>
      </x:c>
      <x:c r="F53" s="52" t="n">
        <x:v>156.40552</x:v>
      </x:c>
      <x:c r="G53" s="52" t="n">
        <x:v>634.75198</x:v>
      </x:c>
      <x:c r="H53" s="52" t="n">
        <x:v>-19.84259</x:v>
      </x:c>
      <x:c r="I53" s="52" t="n">
        <x:v>0</x:v>
      </x:c>
      <x:c r="J53" s="43" t="str">
        <x:v>SVG coordinate direction only; not authoritative for dynamic extension</x:v>
      </x:c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>
      <x:c r="A54" s="43" t="str">
        <x:v>CUT_55</x:v>
      </x:c>
      <x:c r="B54" s="43" t="str">
        <x:v>CUT</x:v>
      </x:c>
      <x:c r="C54" s="43" t="str">
        <x:v>Up</x:v>
      </x:c>
      <x:c r="D54" s="52" t="n">
        <x:v>156.40552</x:v>
      </x:c>
      <x:c r="E54" s="52" t="n">
        <x:v>634.75198</x:v>
      </x:c>
      <x:c r="F54" s="52" t="n">
        <x:v>156.40552</x:v>
      </x:c>
      <x:c r="G54" s="52" t="n">
        <x:v>628.37399</x:v>
      </x:c>
      <x:c r="H54" s="52" t="n">
        <x:v>0</x:v>
      </x:c>
      <x:c r="I54" s="52" t="n">
        <x:v>-6.377989999999954</x:v>
      </x:c>
      <x:c r="J54" s="43" t="str">
        <x:v>SVG coordinate direction only; not authoritative for dynamic extension</x:v>
      </x:c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>
      <x:c r="A55" s="43" t="str">
        <x:v>CREASE_56</x:v>
      </x:c>
      <x:c r="B55" s="43" t="str">
        <x:v>CREASE</x:v>
      </x:c>
      <x:c r="C55" s="43" t="str">
        <x:v>Up</x:v>
      </x:c>
      <x:c r="D55" s="52" t="n">
        <x:v>34.51575</x:v>
      </x:c>
      <x:c r="E55" s="52" t="n">
        <x:v>522.07479</x:v>
      </x:c>
      <x:c r="F55" s="52" t="n">
        <x:v>34.51575</x:v>
      </x:c>
      <x:c r="G55" s="52" t="n">
        <x:v>153.57087</x:v>
      </x:c>
      <x:c r="H55" s="52" t="n">
        <x:v>0</x:v>
      </x:c>
      <x:c r="I55" s="52" t="n">
        <x:v>-368.50392</x:v>
      </x:c>
      <x:c r="J55" s="43" t="str">
        <x:v>SVG coordinate direction only; not authoritative for dynamic extension</x:v>
      </x:c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>
      <x:c r="A56" s="43" t="str">
        <x:v>CREASE_57</x:v>
      </x:c>
      <x:c r="B56" s="43" t="str">
        <x:v>CREASE</x:v>
      </x:c>
      <x:c r="C56" s="43" t="str">
        <x:v>Up</x:v>
      </x:c>
      <x:c r="D56" s="52" t="n">
        <x:v>176.24811</x:v>
      </x:c>
      <x:c r="E56" s="52" t="n">
        <x:v>522.07479</x:v>
      </x:c>
      <x:c r="F56" s="52" t="n">
        <x:v>176.24811</x:v>
      </x:c>
      <x:c r="G56" s="52" t="n">
        <x:v>153.57087</x:v>
      </x:c>
      <x:c r="H56" s="52" t="n">
        <x:v>0</x:v>
      </x:c>
      <x:c r="I56" s="52" t="n">
        <x:v>-368.50392</x:v>
      </x:c>
      <x:c r="J56" s="43" t="str">
        <x:v>SVG coordinate direction only; not authoritative for dynamic extension</x:v>
      </x:c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>
      <x:c r="A57" s="43" t="str">
        <x:v>CREASE_58</x:v>
      </x:c>
      <x:c r="B57" s="43" t="str">
        <x:v>CREASE</x:v>
      </x:c>
      <x:c r="C57" s="43" t="str">
        <x:v>Down</x:v>
      </x:c>
      <x:c r="D57" s="52" t="n">
        <x:v>289.63391</x:v>
      </x:c>
      <x:c r="E57" s="52" t="n">
        <x:v>153.57087</x:v>
      </x:c>
      <x:c r="F57" s="52" t="n">
        <x:v>289.63391</x:v>
      </x:c>
      <x:c r="G57" s="52" t="n">
        <x:v>522.07479</x:v>
      </x:c>
      <x:c r="H57" s="52" t="n">
        <x:v>0</x:v>
      </x:c>
      <x:c r="I57" s="52" t="n">
        <x:v>368.50392</x:v>
      </x:c>
      <x:c r="J57" s="43" t="str">
        <x:v>SVG coordinate direction only; not authoritative for dynamic extension</x:v>
      </x:c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>
      <x:c r="A58" s="43" t="str">
        <x:v>CREASE_59</x:v>
      </x:c>
      <x:c r="B58" s="43" t="str">
        <x:v>CREASE</x:v>
      </x:c>
      <x:c r="C58" s="43" t="str">
        <x:v>Down</x:v>
      </x:c>
      <x:c r="D58" s="52" t="n">
        <x:v>431.36621</x:v>
      </x:c>
      <x:c r="E58" s="52" t="n">
        <x:v>153.57087</x:v>
      </x:c>
      <x:c r="F58" s="52" t="n">
        <x:v>431.36621</x:v>
      </x:c>
      <x:c r="G58" s="52" t="n">
        <x:v>522.07479</x:v>
      </x:c>
      <x:c r="H58" s="52" t="n">
        <x:v>0</x:v>
      </x:c>
      <x:c r="I58" s="52" t="n">
        <x:v>368.50392</x:v>
      </x:c>
      <x:c r="J58" s="43" t="str">
        <x:v>SVG coordinate direction only; not authoritative for dynamic extension</x:v>
      </x:c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>
      <x:c r="A59" s="43" t="str">
        <x:v>CREASE_60</x:v>
      </x:c>
      <x:c r="B59" s="43" t="str">
        <x:v>CREASE</x:v>
      </x:c>
      <x:c r="C59" s="43" t="str">
        <x:v>Right</x:v>
      </x:c>
      <x:c r="D59" s="52" t="n">
        <x:v>34.51575</x:v>
      </x:c>
      <x:c r="E59" s="52" t="n">
        <x:v>523.49215</x:v>
      </x:c>
      <x:c r="F59" s="52" t="n">
        <x:v>176.24811</x:v>
      </x:c>
      <x:c r="G59" s="52" t="n">
        <x:v>523.49215</x:v>
      </x:c>
      <x:c r="H59" s="52" t="n">
        <x:v>141.73236</x:v>
      </x:c>
      <x:c r="I59" s="52" t="n">
        <x:v>0</x:v>
      </x:c>
      <x:c r="J59" s="43" t="str">
        <x:v>SVG coordinate direction only; not authoritative for dynamic extension</x:v>
      </x:c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>
      <x:c r="A60" s="43" t="str">
        <x:v>CREASE_61</x:v>
      </x:c>
      <x:c r="B60" s="43" t="str">
        <x:v>CREASE</x:v>
      </x:c>
      <x:c r="C60" s="43" t="str">
        <x:v>Left</x:v>
      </x:c>
      <x:c r="D60" s="52" t="n">
        <x:v>156.40552</x:v>
      </x:c>
      <x:c r="E60" s="52" t="n">
        <x:v>632.626</x:v>
      </x:c>
      <x:c r="F60" s="52" t="n">
        <x:v>54.35828</x:v>
      </x:c>
      <x:c r="G60" s="52" t="n">
        <x:v>632.626</x:v>
      </x:c>
      <x:c r="H60" s="52" t="n">
        <x:v>-102.04723999999999</x:v>
      </x:c>
      <x:c r="I60" s="52" t="n">
        <x:v>0</x:v>
      </x:c>
      <x:c r="J60" s="43" t="str">
        <x:v>SVG coordinate direction only; not authoritative for dynamic extension</x:v>
      </x:c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>
      <x:c r="A61" s="43" t="str">
        <x:v>CREASE_62</x:v>
      </x:c>
      <x:c r="B61" s="43" t="str">
        <x:v>CREASE</x:v>
      </x:c>
      <x:c r="C61" s="43" t="str">
        <x:v>Right</x:v>
      </x:c>
      <x:c r="D61" s="52" t="n">
        <x:v>178.37402</x:v>
      </x:c>
      <x:c r="E61" s="52" t="n">
        <x:v>153.57087</x:v>
      </x:c>
      <x:c r="F61" s="52" t="n">
        <x:v>289.63385</x:v>
      </x:c>
      <x:c r="G61" s="52" t="n">
        <x:v>153.57087</x:v>
      </x:c>
      <x:c r="H61" s="52" t="n">
        <x:v>111.25983</x:v>
      </x:c>
      <x:c r="I61" s="52" t="n">
        <x:v>0</x:v>
      </x:c>
      <x:c r="J61" s="43" t="str">
        <x:v>SVG coordinate direction only; not authoritative for dynamic extension</x:v>
      </x:c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>
      <x:c r="A62" s="43" t="str">
        <x:v>CREASE_63</x:v>
      </x:c>
      <x:c r="B62" s="43" t="str">
        <x:v>CREASE</x:v>
      </x:c>
      <x:c r="C62" s="43" t="str">
        <x:v>Left</x:v>
      </x:c>
      <x:c r="D62" s="52" t="n">
        <x:v>287.50787</x:v>
      </x:c>
      <x:c r="E62" s="52" t="n">
        <x:v>522.07479</x:v>
      </x:c>
      <x:c r="F62" s="52" t="n">
        <x:v>176.24804</x:v>
      </x:c>
      <x:c r="G62" s="52" t="n">
        <x:v>522.07479</x:v>
      </x:c>
      <x:c r="H62" s="52" t="n">
        <x:v>-111.25983000000002</x:v>
      </x:c>
      <x:c r="I62" s="52" t="n">
        <x:v>0</x:v>
      </x:c>
      <x:c r="J62" s="43" t="str">
        <x:v>SVG coordinate direction only; not authoritative for dynamic extension</x:v>
      </x:c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>
      <x:c r="A63" s="43" t="str">
        <x:v>CREASE_64</x:v>
      </x:c>
      <x:c r="B63" s="43" t="str">
        <x:v>CREASE</x:v>
      </x:c>
      <x:c r="C63" s="43" t="str">
        <x:v>Right</x:v>
      </x:c>
      <x:c r="D63" s="52" t="n">
        <x:v>289.63391</x:v>
      </x:c>
      <x:c r="E63" s="52" t="n">
        <x:v>152.15355</x:v>
      </x:c>
      <x:c r="F63" s="52" t="n">
        <x:v>431.36621</x:v>
      </x:c>
      <x:c r="G63" s="52" t="n">
        <x:v>152.15355</x:v>
      </x:c>
      <x:c r="H63" s="52" t="n">
        <x:v>141.7323</x:v>
      </x:c>
      <x:c r="I63" s="52" t="n">
        <x:v>0</x:v>
      </x:c>
      <x:c r="J63" s="43" t="str">
        <x:v>SVG coordinate direction only; not authoritative for dynamic extension</x:v>
      </x:c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>
      <x:c r="A64" s="43" t="str">
        <x:v>CREASE_65</x:v>
      </x:c>
      <x:c r="B64" s="43" t="str">
        <x:v>CREASE</x:v>
      </x:c>
      <x:c r="C64" s="43" t="str">
        <x:v>Left</x:v>
      </x:c>
      <x:c r="D64" s="52" t="n">
        <x:v>411.52368</x:v>
      </x:c>
      <x:c r="E64" s="52" t="n">
        <x:v>43.01969</x:v>
      </x:c>
      <x:c r="F64" s="52" t="n">
        <x:v>309.47644</x:v>
      </x:c>
      <x:c r="G64" s="52" t="n">
        <x:v>43.01969</x:v>
      </x:c>
      <x:c r="H64" s="52" t="n">
        <x:v>-102.04723999999999</x:v>
      </x:c>
      <x:c r="I64" s="52" t="n">
        <x:v>0</x:v>
      </x:c>
      <x:c r="J64" s="43" t="str">
        <x:v>SVG coordinate direction only; not authoritative for dynamic extension</x:v>
      </x:c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>
      <x:c r="A65" s="43" t="str">
        <x:v>CREASE_66</x:v>
      </x:c>
      <x:c r="B65" s="43" t="str">
        <x:v>CREASE</x:v>
      </x:c>
      <x:c r="C65" s="43" t="str">
        <x:v>Left</x:v>
      </x:c>
      <x:c r="D65" s="52" t="n">
        <x:v>543.33472</x:v>
      </x:c>
      <x:c r="E65" s="52" t="n">
        <x:v>153.57087</x:v>
      </x:c>
      <x:c r="F65" s="52" t="n">
        <x:v>431.36621</x:v>
      </x:c>
      <x:c r="G65" s="52" t="n">
        <x:v>153.57087</x:v>
      </x:c>
      <x:c r="H65" s="52" t="n">
        <x:v>-111.96850999999992</x:v>
      </x:c>
      <x:c r="I65" s="52" t="n">
        <x:v>0</x:v>
      </x:c>
      <x:c r="J65" s="43" t="str">
        <x:v>SVG coordinate direction only; not authoritative for dynamic extension</x:v>
      </x:c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>
      <x:c r="A66" s="43" t="str">
        <x:v>CREASE_67</x:v>
      </x:c>
      <x:c r="B66" s="43" t="str">
        <x:v>CREASE</x:v>
      </x:c>
      <x:c r="C66" s="43" t="str">
        <x:v>Right</x:v>
      </x:c>
      <x:c r="D66" s="52" t="n">
        <x:v>433.49219</x:v>
      </x:c>
      <x:c r="E66" s="52" t="n">
        <x:v>522.07479</x:v>
      </x:c>
      <x:c r="F66" s="52" t="n">
        <x:v>543.33472</x:v>
      </x:c>
      <x:c r="G66" s="52" t="n">
        <x:v>522.07479</x:v>
      </x:c>
      <x:c r="H66" s="52" t="n">
        <x:v>109.84252999999995</x:v>
      </x:c>
      <x:c r="I66" s="52" t="n">
        <x:v>0</x:v>
      </x:c>
      <x:c r="J66" s="43" t="str">
        <x:v>SVG coordinate direction only; not authoritative for dynamic extension</x:v>
      </x:c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45e8ec886ad64b8f"/>
  </x:tableParts>
</x:worksheet>
</file>