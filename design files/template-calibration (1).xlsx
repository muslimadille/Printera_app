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ferenceDimensions" sheetId="3" state="visible" r:id="rId3"/>
    <sheet xmlns:r="http://schemas.openxmlformats.org/officeDocument/2006/relationships" name="SegmentFunctionalMap" sheetId="4" state="visible" r:id="rId4"/>
    <sheet xmlns:r="http://schemas.openxmlformats.org/officeDocument/2006/relationships" name="ParameterInfluenceMap" sheetId="5" state="visible" r:id="rId5"/>
    <sheet xmlns:r="http://schemas.openxmlformats.org/officeDocument/2006/relationships" name="Rules_Lid" sheetId="6" state="visible" r:id="rId6"/>
    <sheet xmlns:r="http://schemas.openxmlformats.org/officeDocument/2006/relationships" name="Rules_LidTongue" sheetId="7" state="visible" r:id="rId7"/>
    <sheet xmlns:r="http://schemas.openxmlformats.org/officeDocument/2006/relationships" name="Rules_Lock" sheetId="8" state="visible" r:id="rId8"/>
    <sheet xmlns:r="http://schemas.openxmlformats.org/officeDocument/2006/relationships" name="Rules_DepthTongue" sheetId="9" state="visible" r:id="rId9"/>
    <sheet xmlns:r="http://schemas.openxmlformats.org/officeDocument/2006/relationships" name="Rules_InnerCut" sheetId="10" state="visible" r:id="rId10"/>
    <sheet xmlns:r="http://schemas.openxmlformats.org/officeDocument/2006/relationships" name="Rules_Crease" sheetId="11" state="visible" r:id="rId11"/>
    <sheet xmlns:r="http://schemas.openxmlformats.org/officeDocument/2006/relationships" name="DerivedDimensions" sheetId="12" state="visible" r:id="rId12"/>
    <sheet xmlns:r="http://schemas.openxmlformats.org/officeDocument/2006/relationships" name="Boundaries" sheetId="13" state="visible" r:id="rId13"/>
    <sheet xmlns:r="http://schemas.openxmlformats.org/officeDocument/2006/relationships" name="Footprint_Pitch" sheetId="14" state="visible" r:id="rId14"/>
    <sheet xmlns:r="http://schemas.openxmlformats.org/officeDocument/2006/relationships" name="PreviewExportContract" sheetId="15" state="visible" r:id="rId15"/>
    <sheet xmlns:r="http://schemas.openxmlformats.org/officeDocument/2006/relationships" name="LayerProtocol" sheetId="16" state="visible" r:id="rId16"/>
    <sheet xmlns:r="http://schemas.openxmlformats.org/officeDocument/2006/relationships" name="SmartAutoNesting" sheetId="17" state="visible" r:id="rId17"/>
    <sheet xmlns:r="http://schemas.openxmlformats.org/officeDocument/2006/relationships" name="SheetLayout" sheetId="18" state="visible" r:id="rId18"/>
    <sheet xmlns:r="http://schemas.openxmlformats.org/officeDocument/2006/relationships" name="Orientation" sheetId="19" state="visible" r:id="rId19"/>
    <sheet xmlns:r="http://schemas.openxmlformats.org/officeDocument/2006/relationships" name="AxisIndependence" sheetId="20" state="visible" r:id="rId20"/>
    <sheet xmlns:r="http://schemas.openxmlformats.org/officeDocument/2006/relationships" name="ExportSheetContract" sheetId="21" state="visible" r:id="rId21"/>
    <sheet xmlns:r="http://schemas.openxmlformats.org/officeDocument/2006/relationships" name="CalibrationNotes" sheetId="22" state="visible" r:id="rId22"/>
    <sheet xmlns:r="http://schemas.openxmlformats.org/officeDocument/2006/relationships" name="TestCas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D001 — Template Calibration Oracle</t>
        </is>
      </c>
    </row>
    <row r="2">
      <c r="A2" s="2" t="inlineStr"/>
    </row>
    <row r="3">
      <c r="A3" s="3" t="inlineStr">
        <is>
          <t>Purpose: Documentation / Validation Oracle for the D001 template.</t>
        </is>
      </c>
    </row>
    <row r="4">
      <c r="A4" s="2" t="inlineStr"/>
    </row>
    <row r="5">
      <c r="A5" s="3" t="inlineStr">
        <is>
          <t>This file is NOT read by the application at runtime.</t>
        </is>
      </c>
    </row>
    <row r="6">
      <c r="A6" s="3" t="inlineStr">
        <is>
          <t>It does not affect Dynamic Geometry, Preview, Single Template Export,</t>
        </is>
      </c>
    </row>
    <row r="7">
      <c r="A7" s="3" t="inlineStr">
        <is>
          <t>Smart Auto Nesting, or Sheet Layout Export.</t>
        </is>
      </c>
    </row>
    <row r="8">
      <c r="A8" s="2" t="inlineStr"/>
    </row>
    <row r="9">
      <c r="A9" s="3" t="inlineStr">
        <is>
          <t>Source of truth (code):</t>
        </is>
      </c>
    </row>
    <row r="10">
      <c r="A10" s="3" t="inlineStr">
        <is>
          <t xml:space="preserve">  • src/lib/d001/types.ts</t>
        </is>
      </c>
    </row>
    <row r="11">
      <c r="A11" s="3" t="inlineStr">
        <is>
          <t xml:space="preserve">  • src/lib/d001/geometry.ts</t>
        </is>
      </c>
    </row>
    <row r="12">
      <c r="A12" s="3" t="inlineStr">
        <is>
          <t xml:space="preserve">  • src/lib/d001/reference.ts</t>
        </is>
      </c>
    </row>
    <row r="13">
      <c r="A13" s="3" t="inlineStr">
        <is>
          <t xml:space="preserve">  • src/lib/d001/nesting.ts</t>
        </is>
      </c>
    </row>
    <row r="14">
      <c r="A14" s="3" t="inlineStr">
        <is>
          <t xml:space="preserve">  • src/lib/d001/exportSingle.ts</t>
        </is>
      </c>
    </row>
    <row r="15">
      <c r="A15" s="3" t="inlineStr">
        <is>
          <t xml:space="preserve">  • src/lib/d001/exportSheet.ts</t>
        </is>
      </c>
    </row>
    <row r="16">
      <c r="A16" s="2" t="inlineStr"/>
    </row>
    <row r="17">
      <c r="A17" s="3" t="inlineStr">
        <is>
          <t>Protocol authority: docs/TEMPLATE_BUILD_PROTOCOL.md</t>
        </is>
      </c>
    </row>
    <row r="18">
      <c r="A18" s="2" t="inlineStr"/>
    </row>
    <row r="19">
      <c r="A19" s="3" t="inlineStr">
        <is>
          <t>Sheets: Inputs, ReferenceDimensions, SegmentFunctionalMap,</t>
        </is>
      </c>
    </row>
    <row r="20">
      <c r="A20" s="3" t="inlineStr">
        <is>
          <t>ParameterInfluenceMap, Rules_*, DerivedDimensions, Boundaries,</t>
        </is>
      </c>
    </row>
    <row r="21">
      <c r="A21" s="3" t="inlineStr">
        <is>
          <t>Footprint_Pitch, PreviewExportContract, LayerProtocol,</t>
        </is>
      </c>
    </row>
    <row r="22">
      <c r="A22" s="3" t="inlineStr">
        <is>
          <t>SmartAutoNesting, SheetLayout, Orientation, AxisIndependence,</t>
        </is>
      </c>
    </row>
    <row r="23">
      <c r="A23" s="3" t="inlineStr">
        <is>
          <t>ExportSheetContract, CalibrationNotes, TestCases.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2" customWidth="1" min="3" max="3"/>
    <col width="8" customWidth="1" min="4" max="4"/>
    <col width="38" customWidth="1" min="5" max="5"/>
    <col width="60" customWidth="1" min="6" max="6"/>
  </cols>
  <sheetData>
    <row r="1">
      <c r="A1" s="1" t="inlineStr">
        <is>
          <t>D001 — Inputs (Code Defaults)</t>
        </is>
      </c>
    </row>
    <row r="2">
      <c r="A2" s="2" t="inlineStr">
        <is>
          <t>Blue = user-editable inputs at runtime. Values mirror src/lib/d001/types.ts.</t>
        </is>
      </c>
    </row>
    <row r="3">
      <c r="A3" s="4" t="inlineStr">
        <is>
          <t>Parameter</t>
        </is>
      </c>
      <c r="B3" s="4" t="inlineStr">
        <is>
          <t>Code Key</t>
        </is>
      </c>
      <c r="C3" s="4" t="inlineStr">
        <is>
          <t>Default</t>
        </is>
      </c>
      <c r="D3" s="4" t="inlineStr">
        <is>
          <t>Unit</t>
        </is>
      </c>
      <c r="E3" s="4" t="inlineStr">
        <is>
          <t>Source</t>
        </is>
      </c>
      <c r="F3" s="4" t="inlineStr">
        <is>
          <t>Notes</t>
        </is>
      </c>
    </row>
    <row r="4">
      <c r="A4" s="5" t="inlineStr">
        <is>
          <t>Product Width</t>
        </is>
      </c>
      <c r="B4" s="5" t="inlineStr">
        <is>
          <t>width</t>
        </is>
      </c>
      <c r="C4" s="6" t="n">
        <v>50</v>
      </c>
      <c r="D4" s="5" t="inlineStr">
        <is>
          <t>mm</t>
        </is>
      </c>
      <c r="E4" s="5" t="inlineStr">
        <is>
          <t>D001_REFERENCE.width</t>
        </is>
      </c>
      <c r="F4" s="5" t="inlineStr">
        <is>
          <t>Face panel width</t>
        </is>
      </c>
    </row>
    <row r="5">
      <c r="A5" s="5" t="inlineStr">
        <is>
          <t>Product Height</t>
        </is>
      </c>
      <c r="B5" s="5" t="inlineStr">
        <is>
          <t>height</t>
        </is>
      </c>
      <c r="C5" s="6" t="n">
        <v>130</v>
      </c>
      <c r="D5" s="5" t="inlineStr">
        <is>
          <t>mm</t>
        </is>
      </c>
      <c r="E5" s="5" t="inlineStr">
        <is>
          <t>D001_REFERENCE.height</t>
        </is>
      </c>
      <c r="F5" s="5" t="inlineStr">
        <is>
          <t>Face panel height</t>
        </is>
      </c>
    </row>
    <row r="6">
      <c r="A6" s="5" t="inlineStr">
        <is>
          <t>Product Depth</t>
        </is>
      </c>
      <c r="B6" s="5" t="inlineStr">
        <is>
          <t>depth</t>
        </is>
      </c>
      <c r="C6" s="6" t="n">
        <v>40</v>
      </c>
      <c r="D6" s="5" t="inlineStr">
        <is>
          <t>mm</t>
        </is>
      </c>
      <c r="E6" s="5" t="inlineStr">
        <is>
          <t>D001_REFERENCE.depth</t>
        </is>
      </c>
      <c r="F6" s="5" t="inlineStr">
        <is>
          <t>Side depth</t>
        </is>
      </c>
    </row>
    <row r="7">
      <c r="A7" s="5" t="inlineStr">
        <is>
          <t>Glue Flap</t>
        </is>
      </c>
      <c r="B7" s="5" t="inlineStr">
        <is>
          <t>glueFlap</t>
        </is>
      </c>
      <c r="C7" s="6" t="n">
        <v>12</v>
      </c>
      <c r="D7" s="5" t="inlineStr">
        <is>
          <t>mm</t>
        </is>
      </c>
      <c r="E7" s="5" t="inlineStr">
        <is>
          <t>D001_REFERENCE.glueFlap</t>
        </is>
      </c>
      <c r="F7" s="5" t="inlineStr">
        <is>
          <t>Extends LEFT of Face1</t>
        </is>
      </c>
    </row>
    <row r="8">
      <c r="A8" s="5" t="inlineStr">
        <is>
          <t>Lid Tongue</t>
        </is>
      </c>
      <c r="B8" s="5" t="inlineStr">
        <is>
          <t>lidTongue</t>
        </is>
      </c>
      <c r="C8" s="6" t="n">
        <v>14.25</v>
      </c>
      <c r="D8" s="5" t="inlineStr">
        <is>
          <t>mm</t>
        </is>
      </c>
      <c r="E8" s="5" t="inlineStr">
        <is>
          <t>D001_REFERENCE.lidTongue</t>
        </is>
      </c>
      <c r="F8" s="5" t="inlineStr">
        <is>
          <t>Bézier height (Seg 12/14/41/43)</t>
        </is>
      </c>
    </row>
    <row r="9">
      <c r="A9" s="5" t="inlineStr">
        <is>
          <t>Lock</t>
        </is>
      </c>
      <c r="B9" s="5" t="inlineStr">
        <is>
          <t>depthTongue</t>
        </is>
      </c>
      <c r="C9" s="6" t="n">
        <v>5</v>
      </c>
      <c r="D9" s="5" t="inlineStr">
        <is>
          <t>mm</t>
        </is>
      </c>
      <c r="E9" s="5" t="inlineStr">
        <is>
          <t>D001_REFERENCE.depthTongue</t>
        </is>
      </c>
      <c r="F9" s="5" t="inlineStr">
        <is>
          <t>Seg 4/22/29/33 height. Live default: W&lt;=25 -&gt; 3, else 5</t>
        </is>
      </c>
    </row>
    <row r="10">
      <c r="A10" s="5" t="inlineStr">
        <is>
          <t>Depth Tongue Total Height</t>
        </is>
      </c>
      <c r="B10" s="5" t="inlineStr">
        <is>
          <t>depthTongueTotalHeight</t>
        </is>
      </c>
      <c r="C10" s="6" t="n">
        <v>27</v>
      </c>
      <c r="D10" s="5" t="inlineStr">
        <is>
          <t>mm</t>
        </is>
      </c>
      <c r="E10" s="5" t="inlineStr">
        <is>
          <t>autoDepthTongueTotalHeight(lock,depth) = lock + 2 + depth/2</t>
        </is>
      </c>
      <c r="F10" s="5" t="inlineStr">
        <is>
          <t>Flexes Seg 6/7 middle ramp only</t>
        </is>
      </c>
    </row>
    <row r="11">
      <c r="A11" s="5" t="inlineStr">
        <is>
          <t>Depth Tongue Corner Radius</t>
        </is>
      </c>
      <c r="B11" s="5" t="inlineStr">
        <is>
          <t>depthTongueCornerRadius</t>
        </is>
      </c>
      <c r="C11" s="6" t="n">
        <v>0</v>
      </c>
      <c r="D11" s="5" t="inlineStr">
        <is>
          <t>mm</t>
        </is>
      </c>
      <c r="E11" s="5" t="inlineStr">
        <is>
          <t>geometry.ts fillet</t>
        </is>
      </c>
      <c r="F11" s="5" t="inlineStr">
        <is>
          <t>0 = sharp; auto-clamped to safe max</t>
        </is>
      </c>
    </row>
    <row r="12">
      <c r="A12" s="5" t="inlineStr">
        <is>
          <t>Sheet Width</t>
        </is>
      </c>
      <c r="B12" s="5" t="inlineStr">
        <is>
          <t>sheetWidth</t>
        </is>
      </c>
      <c r="C12" s="6" t="n">
        <v>700</v>
      </c>
      <c r="D12" s="5" t="inlineStr">
        <is>
          <t>mm</t>
        </is>
      </c>
      <c r="E12" s="5" t="inlineStr">
        <is>
          <t>D001_DEFAULTS</t>
        </is>
      </c>
      <c r="F12" s="5" t="inlineStr">
        <is>
          <t>Nesting only</t>
        </is>
      </c>
    </row>
    <row r="13">
      <c r="A13" s="5" t="inlineStr">
        <is>
          <t>Sheet Height</t>
        </is>
      </c>
      <c r="B13" s="5" t="inlineStr">
        <is>
          <t>sheetHeight</t>
        </is>
      </c>
      <c r="C13" s="6" t="n">
        <v>1000</v>
      </c>
      <c r="D13" s="5" t="inlineStr">
        <is>
          <t>mm</t>
        </is>
      </c>
      <c r="E13" s="5" t="inlineStr">
        <is>
          <t>D001_DEFAULTS</t>
        </is>
      </c>
      <c r="F13" s="5" t="inlineStr">
        <is>
          <t>Nesting only</t>
        </is>
      </c>
    </row>
    <row r="14">
      <c r="A14" s="5" t="inlineStr">
        <is>
          <t>Sheet Margin</t>
        </is>
      </c>
      <c r="B14" s="5" t="inlineStr">
        <is>
          <t>sheetMargin</t>
        </is>
      </c>
      <c r="C14" s="6" t="n">
        <v>0</v>
      </c>
      <c r="D14" s="5" t="inlineStr">
        <is>
          <t>mm</t>
        </is>
      </c>
      <c r="E14" s="5" t="inlineStr">
        <is>
          <t>D001_DEFAULTS</t>
        </is>
      </c>
      <c r="F14" s="5" t="inlineStr">
        <is>
          <t>Subtracted both sides</t>
        </is>
      </c>
    </row>
    <row r="15">
      <c r="A15" s="5" t="inlineStr">
        <is>
          <t>Gripper</t>
        </is>
      </c>
      <c r="B15" s="5" t="inlineStr">
        <is>
          <t>gripper</t>
        </is>
      </c>
      <c r="C15" s="6" t="n">
        <v>0</v>
      </c>
      <c r="D15" s="5" t="inlineStr">
        <is>
          <t>mm</t>
        </is>
      </c>
      <c r="E15" s="5" t="inlineStr">
        <is>
          <t>D001_DEFAULTS</t>
        </is>
      </c>
      <c r="F15" s="5" t="inlineStr">
        <is>
          <t>Subtracted from height</t>
        </is>
      </c>
    </row>
    <row r="16">
      <c r="A16" s="5" t="inlineStr">
        <is>
          <t>Horizontal Gap</t>
        </is>
      </c>
      <c r="B16" s="5" t="inlineStr">
        <is>
          <t>hGap</t>
        </is>
      </c>
      <c r="C16" s="6" t="n">
        <v>0</v>
      </c>
      <c r="D16" s="5" t="inlineStr">
        <is>
          <t>mm</t>
        </is>
      </c>
      <c r="E16" s="5" t="inlineStr">
        <is>
          <t>nesting.ts</t>
        </is>
      </c>
      <c r="F16" s="5" t="inlineStr">
        <is>
          <t>Safety only — does NOT change rowBrickDx</t>
        </is>
      </c>
    </row>
    <row r="17">
      <c r="A17" s="5" t="inlineStr">
        <is>
          <t>Vertical Gap</t>
        </is>
      </c>
      <c r="B17" s="5" t="inlineStr">
        <is>
          <t>vGap</t>
        </is>
      </c>
      <c r="C17" s="6" t="n">
        <v>0</v>
      </c>
      <c r="D17" s="5" t="inlineStr">
        <is>
          <t>mm</t>
        </is>
      </c>
      <c r="E17" s="5" t="inlineStr">
        <is>
          <t>nesting.ts</t>
        </is>
      </c>
      <c r="F17" s="5" t="inlineStr">
        <is>
          <t>Safety only — does NOT change rowBrickDx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50" customWidth="1" min="4" max="4"/>
  </cols>
  <sheetData>
    <row r="1">
      <c r="A1" s="1" t="inlineStr">
        <is>
          <t>Reference Clone Source (1:1 Anchor)</t>
        </is>
      </c>
    </row>
    <row r="2">
      <c r="A2" s="2" t="inlineStr">
        <is>
          <t>Reference dimensions extracted directly from TEMPLATE.svg. Engine reproduces these byte-for-byte when referenceMode=true.</t>
        </is>
      </c>
    </row>
    <row r="3">
      <c r="A3" s="4" t="inlineStr">
        <is>
          <t>Field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Notes</t>
        </is>
      </c>
    </row>
    <row r="4">
      <c r="A4" s="5" t="inlineStr">
        <is>
          <t>width (W)</t>
        </is>
      </c>
      <c r="B4" s="5" t="n">
        <v>50</v>
      </c>
      <c r="C4" s="5" t="inlineStr">
        <is>
          <t>mm</t>
        </is>
      </c>
      <c r="D4" s="5" t="inlineStr">
        <is>
          <t>Reference Clone source: TEMPLATE.svg (50×130×40)</t>
        </is>
      </c>
    </row>
    <row r="5">
      <c r="A5" s="5" t="inlineStr">
        <is>
          <t>height (H)</t>
        </is>
      </c>
      <c r="B5" s="5" t="n">
        <v>130</v>
      </c>
      <c r="C5" s="5" t="inlineStr">
        <is>
          <t>mm</t>
        </is>
      </c>
      <c r="D5" s="5" t="inlineStr"/>
    </row>
    <row r="6">
      <c r="A6" s="5" t="inlineStr">
        <is>
          <t>depth (D)</t>
        </is>
      </c>
      <c r="B6" s="5" t="n">
        <v>40</v>
      </c>
      <c r="C6" s="5" t="inlineStr">
        <is>
          <t>mm</t>
        </is>
      </c>
      <c r="D6" s="5" t="inlineStr"/>
    </row>
    <row r="7">
      <c r="A7" s="5" t="inlineStr">
        <is>
          <t>glueFlap (G)</t>
        </is>
      </c>
      <c r="B7" s="5" t="n">
        <v>12</v>
      </c>
      <c r="C7" s="5" t="inlineStr">
        <is>
          <t>mm</t>
        </is>
      </c>
      <c r="D7" s="5" t="inlineStr"/>
    </row>
    <row r="8">
      <c r="A8" s="5" t="inlineStr">
        <is>
          <t>lidTongue</t>
        </is>
      </c>
      <c r="B8" s="5" t="n">
        <v>14.25</v>
      </c>
      <c r="C8" s="5" t="inlineStr">
        <is>
          <t>mm</t>
        </is>
      </c>
      <c r="D8" s="5" t="inlineStr">
        <is>
          <t>Lid Bézier height</t>
        </is>
      </c>
    </row>
    <row r="9">
      <c r="A9" s="5" t="inlineStr">
        <is>
          <t>depthTongue (Lock)</t>
        </is>
      </c>
      <c r="B9" s="5" t="n">
        <v>5</v>
      </c>
      <c r="C9" s="5" t="inlineStr">
        <is>
          <t>mm</t>
        </is>
      </c>
      <c r="D9" s="5" t="inlineStr">
        <is>
          <t>Seg 4 height @ reference</t>
        </is>
      </c>
    </row>
    <row r="10">
      <c r="A10" s="5" t="inlineStr">
        <is>
          <t>depthTongueTotalHeight</t>
        </is>
      </c>
      <c r="B10" s="5" t="n">
        <v>27</v>
      </c>
      <c r="C10" s="5" t="inlineStr">
        <is>
          <t>mm</t>
        </is>
      </c>
      <c r="D10" s="5">
        <f> 5 + 2 + 20</f>
        <v/>
      </c>
    </row>
    <row r="11">
      <c r="A11" s="5" t="inlineStr">
        <is>
          <t>coverVertical</t>
        </is>
      </c>
      <c r="B11" s="5" t="n">
        <v>39.75</v>
      </c>
      <c r="C11" s="5" t="inlineStr">
        <is>
          <t>mm</t>
        </is>
      </c>
      <c r="D11" s="5">
        <f> D − 0.25</f>
        <v/>
      </c>
    </row>
    <row r="12">
      <c r="A12" s="5" t="inlineStr">
        <is>
          <t>faceHeight</t>
        </is>
      </c>
      <c r="B12" s="5" t="n">
        <v>130.5</v>
      </c>
      <c r="C12" s="5" t="inlineStr">
        <is>
          <t>mm</t>
        </is>
      </c>
      <c r="D12" s="5">
        <f> H + 0.5</f>
        <v/>
      </c>
    </row>
    <row r="13">
      <c r="A13" s="5" t="inlineStr">
        <is>
          <t>depth1</t>
        </is>
      </c>
      <c r="B13" s="5" t="n">
        <v>40</v>
      </c>
      <c r="C13" s="5" t="inlineStr">
        <is>
          <t>mm</t>
        </is>
      </c>
      <c r="D13" s="5">
        <f> D</f>
        <v/>
      </c>
    </row>
    <row r="14">
      <c r="A14" s="5" t="inlineStr">
        <is>
          <t>depth2</t>
        </is>
      </c>
      <c r="B14" s="5" t="n">
        <v>39.5</v>
      </c>
      <c r="C14" s="5" t="inlineStr">
        <is>
          <t>mm</t>
        </is>
      </c>
      <c r="D14" s="5">
        <f> D − 0.5</f>
        <v/>
      </c>
    </row>
    <row r="15">
      <c r="A15" s="5" t="inlineStr">
        <is>
          <t>Total OUTER segments</t>
        </is>
      </c>
      <c r="B15" s="5" t="n">
        <v>47</v>
      </c>
      <c r="C15" s="5" t="inlineStr">
        <is>
          <t>count</t>
        </is>
      </c>
      <c r="D15" s="5" t="inlineStr"/>
    </row>
    <row r="16">
      <c r="A16" s="5" t="inlineStr">
        <is>
          <t>Total CUT segments</t>
        </is>
      </c>
      <c r="B16" s="5" t="n">
        <v>8</v>
      </c>
      <c r="C16" s="5" t="inlineStr">
        <is>
          <t>count</t>
        </is>
      </c>
      <c r="D16" s="5" t="inlineStr">
        <is>
          <t>CUT_48..55</t>
        </is>
      </c>
    </row>
    <row r="17">
      <c r="A17" s="5" t="inlineStr">
        <is>
          <t>Total CREASE segments</t>
        </is>
      </c>
      <c r="B17" s="5" t="n">
        <v>12</v>
      </c>
      <c r="C17" s="5" t="inlineStr">
        <is>
          <t>count</t>
        </is>
      </c>
      <c r="D17" s="5" t="inlineStr">
        <is>
          <t>CREASE_56..67</t>
        </is>
      </c>
    </row>
    <row r="18">
      <c r="A18" s="5" t="inlineStr">
        <is>
          <t>TOTAL SEGMENTS</t>
        </is>
      </c>
      <c r="B18" s="5" t="n">
        <v>67</v>
      </c>
      <c r="C18" s="5" t="inlineStr">
        <is>
          <t>count</t>
        </is>
      </c>
      <c r="D18" s="5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46" customWidth="1" min="4" max="4"/>
    <col width="48" customWidth="1" min="5" max="5"/>
  </cols>
  <sheetData>
    <row r="1">
      <c r="A1" s="1" t="inlineStr">
        <is>
          <t>Segment Functional Map (67 segments)</t>
        </is>
      </c>
    </row>
    <row r="2">
      <c r="A2" s="2" t="inlineStr">
        <is>
          <t>Layer order in export: CREASE → OUTER → CUT (CUT topmost).</t>
        </is>
      </c>
    </row>
    <row r="3">
      <c r="A3" s="4" t="inlineStr">
        <is>
          <t>ID</t>
        </is>
      </c>
      <c r="B3" s="4" t="inlineStr">
        <is>
          <t>Layer</t>
        </is>
      </c>
      <c r="C3" s="4" t="inlineStr">
        <is>
          <t>Type</t>
        </is>
      </c>
      <c r="D3" s="4" t="inlineStr">
        <is>
          <t>Function</t>
        </is>
      </c>
      <c r="E3" s="4" t="inlineStr">
        <is>
          <t>Behavior</t>
        </is>
      </c>
    </row>
    <row r="4">
      <c r="A4" s="5" t="inlineStr">
        <is>
          <t>OUTER_1</t>
        </is>
      </c>
      <c r="B4" s="5" t="inlineStr">
        <is>
          <t>CUT (#ED1C24)</t>
        </is>
      </c>
      <c r="C4" s="5" t="inlineStr">
        <is>
          <t>outer</t>
        </is>
      </c>
      <c r="D4" s="5" t="inlineStr">
        <is>
          <t>Glue flap left edge</t>
        </is>
      </c>
      <c r="E4" s="5" t="inlineStr">
        <is>
          <t>Anchored to G</t>
        </is>
      </c>
    </row>
    <row r="5">
      <c r="A5" s="5" t="inlineStr">
        <is>
          <t>OUTER_2</t>
        </is>
      </c>
      <c r="B5" s="5" t="inlineStr">
        <is>
          <t>CUT (#ED1C24)</t>
        </is>
      </c>
      <c r="C5" s="5" t="inlineStr">
        <is>
          <t>outer</t>
        </is>
      </c>
      <c r="D5" s="5" t="inlineStr">
        <is>
          <t>Glue flap top chamfer</t>
        </is>
      </c>
      <c r="E5" s="5" t="inlineStr">
        <is>
          <t>Anchored</t>
        </is>
      </c>
    </row>
    <row r="6">
      <c r="A6" s="5" t="inlineStr">
        <is>
          <t>OUTER_3</t>
        </is>
      </c>
      <c r="B6" s="5" t="inlineStr">
        <is>
          <t>CUT (#ED1C24)</t>
        </is>
      </c>
      <c r="C6" s="5" t="inlineStr">
        <is>
          <t>outer</t>
        </is>
      </c>
      <c r="D6" s="5" t="inlineStr">
        <is>
          <t>Glue flap top → Face1 top</t>
        </is>
      </c>
      <c r="E6" s="5" t="inlineStr">
        <is>
          <t>Anchored</t>
        </is>
      </c>
    </row>
    <row r="7">
      <c r="A7" s="5" t="inlineStr">
        <is>
          <t>OUTER_4</t>
        </is>
      </c>
      <c r="B7" s="5" t="inlineStr">
        <is>
          <t>CUT (#ED1C24)</t>
        </is>
      </c>
      <c r="C7" s="5" t="inlineStr">
        <is>
          <t>outer</t>
        </is>
      </c>
      <c r="D7" s="5" t="inlineStr">
        <is>
          <t>Depth-tongue lock (top-left)</t>
        </is>
      </c>
      <c r="E7" s="5" t="inlineStr">
        <is>
          <t>Height = depthTongue (or W&lt;=25? 3:5)</t>
        </is>
      </c>
    </row>
    <row r="8">
      <c r="A8" s="5" t="inlineStr">
        <is>
          <t>OUTER_5</t>
        </is>
      </c>
      <c r="B8" s="5" t="inlineStr">
        <is>
          <t>CUT (#ED1C24)</t>
        </is>
      </c>
      <c r="C8" s="5" t="inlineStr">
        <is>
          <t>outer</t>
        </is>
      </c>
      <c r="D8" s="5" t="inlineStr">
        <is>
          <t>Depth-tongue end chamfer</t>
        </is>
      </c>
      <c r="E8" s="5" t="inlineStr">
        <is>
          <t>Fixed 2mm leg (SEG5_LEG)</t>
        </is>
      </c>
    </row>
    <row r="9">
      <c r="A9" s="5" t="inlineStr">
        <is>
          <t>OUTER_6</t>
        </is>
      </c>
      <c r="B9" s="5" t="inlineStr">
        <is>
          <t>CUT (#ED1C24)</t>
        </is>
      </c>
      <c r="C9" s="5" t="inlineStr">
        <is>
          <t>outer</t>
        </is>
      </c>
      <c r="D9" s="5" t="inlineStr">
        <is>
          <t>Depth-tongue ramp</t>
        </is>
      </c>
      <c r="E9" s="5" t="inlineStr">
        <is>
          <t>Flexes with depthTongueTotalHeight (anchor+delta)</t>
        </is>
      </c>
    </row>
    <row r="10">
      <c r="A10" s="5" t="inlineStr">
        <is>
          <t>OUTER_7</t>
        </is>
      </c>
      <c r="B10" s="5" t="inlineStr">
        <is>
          <t>CUT (#ED1C24)</t>
        </is>
      </c>
      <c r="C10" s="5" t="inlineStr">
        <is>
          <t>outer</t>
        </is>
      </c>
      <c r="D10" s="5" t="inlineStr">
        <is>
          <t>Depth-tongue horizontal top</t>
        </is>
      </c>
      <c r="E10" s="5" t="inlineStr">
        <is>
          <t>Anchored, may host corner fillet</t>
        </is>
      </c>
    </row>
    <row r="11">
      <c r="A11" s="5" t="inlineStr">
        <is>
          <t>OUTER_8</t>
        </is>
      </c>
      <c r="B11" s="5" t="inlineStr">
        <is>
          <t>CUT (#ED1C24)</t>
        </is>
      </c>
      <c r="C11" s="5" t="inlineStr">
        <is>
          <t>outer</t>
        </is>
      </c>
      <c r="D11" s="5" t="inlineStr">
        <is>
          <t>Depth-tongue ramp mirror</t>
        </is>
      </c>
      <c r="E11" s="5" t="inlineStr">
        <is>
          <t>Mirror of Seg 6</t>
        </is>
      </c>
    </row>
    <row r="12">
      <c r="A12" s="5" t="inlineStr">
        <is>
          <t>OUTER_9</t>
        </is>
      </c>
      <c r="B12" s="5" t="inlineStr">
        <is>
          <t>CUT (#ED1C24)</t>
        </is>
      </c>
      <c r="C12" s="5" t="inlineStr">
        <is>
          <t>outer</t>
        </is>
      </c>
      <c r="D12" s="5" t="inlineStr">
        <is>
          <t>Depth-tongue end chamfer mirror</t>
        </is>
      </c>
      <c r="E12" s="5" t="inlineStr">
        <is>
          <t>Fixed 2mm leg</t>
        </is>
      </c>
    </row>
    <row r="13">
      <c r="A13" s="5" t="inlineStr">
        <is>
          <t>OUTER_10</t>
        </is>
      </c>
      <c r="B13" s="5" t="inlineStr">
        <is>
          <t>CUT (#ED1C24)</t>
        </is>
      </c>
      <c r="C13" s="5" t="inlineStr">
        <is>
          <t>outer</t>
        </is>
      </c>
      <c r="D13" s="5" t="inlineStr">
        <is>
          <t>Face1 top edge segment</t>
        </is>
      </c>
      <c r="E13" s="5" t="inlineStr">
        <is>
          <t>Anchored</t>
        </is>
      </c>
    </row>
    <row r="14">
      <c r="A14" s="5" t="inlineStr">
        <is>
          <t>OUTER_11</t>
        </is>
      </c>
      <c r="B14" s="5" t="inlineStr">
        <is>
          <t>CUT (#ED1C24)</t>
        </is>
      </c>
      <c r="C14" s="5" t="inlineStr">
        <is>
          <t>outer</t>
        </is>
      </c>
      <c r="D14" s="5" t="inlineStr">
        <is>
          <t>Lid base left</t>
        </is>
      </c>
      <c r="E14" s="5" t="inlineStr">
        <is>
          <t>Anchored to W</t>
        </is>
      </c>
    </row>
    <row r="15">
      <c r="A15" s="5" t="inlineStr">
        <is>
          <t>OUTER_12</t>
        </is>
      </c>
      <c r="B15" s="5" t="inlineStr">
        <is>
          <t>CUT (#ED1C24)</t>
        </is>
      </c>
      <c r="C15" s="5" t="inlineStr">
        <is>
          <t>outer</t>
        </is>
      </c>
      <c r="D15" s="5" t="inlineStr">
        <is>
          <t>Lid Bézier (left)</t>
        </is>
      </c>
      <c r="E15" s="5" t="inlineStr">
        <is>
          <t>Driven by lidTongue (Bezier preservation)</t>
        </is>
      </c>
    </row>
    <row r="16">
      <c r="A16" s="5" t="inlineStr">
        <is>
          <t>OUTER_13</t>
        </is>
      </c>
      <c r="B16" s="5" t="inlineStr">
        <is>
          <t>CUT (#ED1C24)</t>
        </is>
      </c>
      <c r="C16" s="5" t="inlineStr">
        <is>
          <t>outer</t>
        </is>
      </c>
      <c r="D16" s="5" t="inlineStr">
        <is>
          <t>Lid top edge</t>
        </is>
      </c>
      <c r="E16" s="5" t="inlineStr">
        <is>
          <t>Anchored</t>
        </is>
      </c>
    </row>
    <row r="17">
      <c r="A17" s="5" t="inlineStr">
        <is>
          <t>OUTER_14</t>
        </is>
      </c>
      <c r="B17" s="5" t="inlineStr">
        <is>
          <t>CUT (#ED1C24)</t>
        </is>
      </c>
      <c r="C17" s="5" t="inlineStr">
        <is>
          <t>outer</t>
        </is>
      </c>
      <c r="D17" s="5" t="inlineStr">
        <is>
          <t>Lid Bézier (right)</t>
        </is>
      </c>
      <c r="E17" s="5" t="inlineStr">
        <is>
          <t>Driven by lidTongue</t>
        </is>
      </c>
    </row>
    <row r="18">
      <c r="A18" s="5" t="inlineStr">
        <is>
          <t>OUTER_15</t>
        </is>
      </c>
      <c r="B18" s="5" t="inlineStr">
        <is>
          <t>CUT (#ED1C24)</t>
        </is>
      </c>
      <c r="C18" s="5" t="inlineStr">
        <is>
          <t>outer</t>
        </is>
      </c>
      <c r="D18" s="5" t="inlineStr">
        <is>
          <t>Lid base right</t>
        </is>
      </c>
      <c r="E18" s="5" t="inlineStr">
        <is>
          <t>Anchored to W</t>
        </is>
      </c>
    </row>
    <row r="19">
      <c r="A19" s="5" t="inlineStr">
        <is>
          <t>OUTER_16</t>
        </is>
      </c>
      <c r="B19" s="5" t="inlineStr">
        <is>
          <t>CUT (#ED1C24)</t>
        </is>
      </c>
      <c r="C19" s="5" t="inlineStr">
        <is>
          <t>outer</t>
        </is>
      </c>
      <c r="D19" s="5" t="inlineStr">
        <is>
          <t>Face1 top right</t>
        </is>
      </c>
      <c r="E19" s="5" t="inlineStr">
        <is>
          <t>Anchored</t>
        </is>
      </c>
    </row>
    <row r="20">
      <c r="A20" s="5" t="inlineStr">
        <is>
          <t>OUTER_17</t>
        </is>
      </c>
      <c r="B20" s="5" t="inlineStr">
        <is>
          <t>CUT (#ED1C24)</t>
        </is>
      </c>
      <c r="C20" s="5" t="inlineStr">
        <is>
          <t>outer</t>
        </is>
      </c>
      <c r="D20" s="5" t="inlineStr">
        <is>
          <t>Mirror of OUTER_9</t>
        </is>
      </c>
      <c r="E20" s="5" t="inlineStr">
        <is>
          <t>Symmetric counterpart</t>
        </is>
      </c>
    </row>
    <row r="21">
      <c r="A21" s="5" t="inlineStr">
        <is>
          <t>OUTER_18</t>
        </is>
      </c>
      <c r="B21" s="5" t="inlineStr">
        <is>
          <t>CUT (#ED1C24)</t>
        </is>
      </c>
      <c r="C21" s="5" t="inlineStr">
        <is>
          <t>outer</t>
        </is>
      </c>
      <c r="D21" s="5" t="inlineStr">
        <is>
          <t>Mirror of OUTER_8</t>
        </is>
      </c>
      <c r="E21" s="5" t="inlineStr">
        <is>
          <t>Symmetric counterpart</t>
        </is>
      </c>
    </row>
    <row r="22">
      <c r="A22" s="5" t="inlineStr">
        <is>
          <t>OUTER_19</t>
        </is>
      </c>
      <c r="B22" s="5" t="inlineStr">
        <is>
          <t>CUT (#ED1C24)</t>
        </is>
      </c>
      <c r="C22" s="5" t="inlineStr">
        <is>
          <t>outer</t>
        </is>
      </c>
      <c r="D22" s="5" t="inlineStr">
        <is>
          <t>Mirror of OUTER_7</t>
        </is>
      </c>
      <c r="E22" s="5" t="inlineStr">
        <is>
          <t>Symmetric counterpart</t>
        </is>
      </c>
    </row>
    <row r="23">
      <c r="A23" s="5" t="inlineStr">
        <is>
          <t>OUTER_20</t>
        </is>
      </c>
      <c r="B23" s="5" t="inlineStr">
        <is>
          <t>CUT (#ED1C24)</t>
        </is>
      </c>
      <c r="C23" s="5" t="inlineStr">
        <is>
          <t>outer</t>
        </is>
      </c>
      <c r="D23" s="5" t="inlineStr">
        <is>
          <t>Mirror of OUTER_6</t>
        </is>
      </c>
      <c r="E23" s="5" t="inlineStr">
        <is>
          <t>Symmetric counterpart</t>
        </is>
      </c>
    </row>
    <row r="24">
      <c r="A24" s="5" t="inlineStr">
        <is>
          <t>OUTER_21</t>
        </is>
      </c>
      <c r="B24" s="5" t="inlineStr">
        <is>
          <t>CUT (#ED1C24)</t>
        </is>
      </c>
      <c r="C24" s="5" t="inlineStr">
        <is>
          <t>outer</t>
        </is>
      </c>
      <c r="D24" s="5" t="inlineStr">
        <is>
          <t>Mirror of OUTER_5</t>
        </is>
      </c>
      <c r="E24" s="5" t="inlineStr">
        <is>
          <t>Symmetric counterpart</t>
        </is>
      </c>
    </row>
    <row r="25">
      <c r="A25" s="5" t="inlineStr">
        <is>
          <t>OUTER_22</t>
        </is>
      </c>
      <c r="B25" s="5" t="inlineStr">
        <is>
          <t>CUT (#ED1C24)</t>
        </is>
      </c>
      <c r="C25" s="5" t="inlineStr">
        <is>
          <t>outer</t>
        </is>
      </c>
      <c r="D25" s="5" t="inlineStr">
        <is>
          <t>Mirror of OUTER_4</t>
        </is>
      </c>
      <c r="E25" s="5" t="inlineStr">
        <is>
          <t>Symmetric counterpart</t>
        </is>
      </c>
    </row>
    <row r="26">
      <c r="A26" s="5" t="inlineStr">
        <is>
          <t>OUTER_23</t>
        </is>
      </c>
      <c r="B26" s="5" t="inlineStr">
        <is>
          <t>CUT (#ED1C24)</t>
        </is>
      </c>
      <c r="C26" s="5" t="inlineStr">
        <is>
          <t>outer</t>
        </is>
      </c>
      <c r="D26" s="5" t="inlineStr">
        <is>
          <t>Mirror of OUTER_3</t>
        </is>
      </c>
      <c r="E26" s="5" t="inlineStr">
        <is>
          <t>Symmetric counterpart</t>
        </is>
      </c>
    </row>
    <row r="27">
      <c r="A27" s="5" t="inlineStr">
        <is>
          <t>OUTER_24</t>
        </is>
      </c>
      <c r="B27" s="5" t="inlineStr">
        <is>
          <t>CUT (#ED1C24)</t>
        </is>
      </c>
      <c r="C27" s="5" t="inlineStr">
        <is>
          <t>outer</t>
        </is>
      </c>
      <c r="D27" s="5" t="inlineStr">
        <is>
          <t>Mirror of OUTER_2</t>
        </is>
      </c>
      <c r="E27" s="5" t="inlineStr">
        <is>
          <t>Symmetric counterpart</t>
        </is>
      </c>
    </row>
    <row r="28">
      <c r="A28" s="5" t="inlineStr">
        <is>
          <t>OUTER_25</t>
        </is>
      </c>
      <c r="B28" s="5" t="inlineStr">
        <is>
          <t>CUT (#ED1C24)</t>
        </is>
      </c>
      <c r="C28" s="5" t="inlineStr">
        <is>
          <t>outer</t>
        </is>
      </c>
      <c r="D28" s="5" t="inlineStr">
        <is>
          <t>Mirror of OUTER_1</t>
        </is>
      </c>
      <c r="E28" s="5" t="inlineStr">
        <is>
          <t>Symmetric counterpart</t>
        </is>
      </c>
    </row>
    <row r="29">
      <c r="A29" s="5" t="inlineStr">
        <is>
          <t>OUTER_26</t>
        </is>
      </c>
      <c r="B29" s="5" t="inlineStr">
        <is>
          <t>CUT (#ED1C24)</t>
        </is>
      </c>
      <c r="C29" s="5" t="inlineStr">
        <is>
          <t>outer</t>
        </is>
      </c>
      <c r="D29" s="5" t="inlineStr">
        <is>
          <t>Bottom depth-tongue (mirror of top tongue group)</t>
        </is>
      </c>
      <c r="E29" s="5" t="inlineStr">
        <is>
          <t>Same rules as Seg 4–9 (lock + ramp + fillet)</t>
        </is>
      </c>
    </row>
    <row r="30">
      <c r="A30" s="5" t="inlineStr">
        <is>
          <t>OUTER_27</t>
        </is>
      </c>
      <c r="B30" s="5" t="inlineStr">
        <is>
          <t>CUT (#ED1C24)</t>
        </is>
      </c>
      <c r="C30" s="5" t="inlineStr">
        <is>
          <t>outer</t>
        </is>
      </c>
      <c r="D30" s="5" t="inlineStr">
        <is>
          <t>Bottom depth-tongue (mirror of top tongue group)</t>
        </is>
      </c>
      <c r="E30" s="5" t="inlineStr">
        <is>
          <t>Same rules as Seg 4–9 (lock + ramp + fillet)</t>
        </is>
      </c>
    </row>
    <row r="31">
      <c r="A31" s="5" t="inlineStr">
        <is>
          <t>OUTER_28</t>
        </is>
      </c>
      <c r="B31" s="5" t="inlineStr">
        <is>
          <t>CUT (#ED1C24)</t>
        </is>
      </c>
      <c r="C31" s="5" t="inlineStr">
        <is>
          <t>outer</t>
        </is>
      </c>
      <c r="D31" s="5" t="inlineStr">
        <is>
          <t>Bottom depth-tongue (mirror of top tongue group)</t>
        </is>
      </c>
      <c r="E31" s="5" t="inlineStr">
        <is>
          <t>Same rules as Seg 4–9 (lock + ramp + fillet)</t>
        </is>
      </c>
    </row>
    <row r="32">
      <c r="A32" s="5" t="inlineStr">
        <is>
          <t>OUTER_29</t>
        </is>
      </c>
      <c r="B32" s="5" t="inlineStr">
        <is>
          <t>CUT (#ED1C24)</t>
        </is>
      </c>
      <c r="C32" s="5" t="inlineStr">
        <is>
          <t>outer</t>
        </is>
      </c>
      <c r="D32" s="5" t="inlineStr">
        <is>
          <t>Bottom depth-tongue (mirror of top tongue group)</t>
        </is>
      </c>
      <c r="E32" s="5" t="inlineStr">
        <is>
          <t>Same rules as Seg 4–9 (lock + ramp + fillet)</t>
        </is>
      </c>
    </row>
    <row r="33">
      <c r="A33" s="5" t="inlineStr">
        <is>
          <t>OUTER_30</t>
        </is>
      </c>
      <c r="B33" s="5" t="inlineStr">
        <is>
          <t>CUT (#ED1C24)</t>
        </is>
      </c>
      <c r="C33" s="5" t="inlineStr">
        <is>
          <t>outer</t>
        </is>
      </c>
      <c r="D33" s="5" t="inlineStr">
        <is>
          <t>Bottom depth-tongue (mirror of top tongue group)</t>
        </is>
      </c>
      <c r="E33" s="5" t="inlineStr">
        <is>
          <t>Same rules as Seg 4–9 (lock + ramp + fillet)</t>
        </is>
      </c>
    </row>
    <row r="34">
      <c r="A34" s="5" t="inlineStr">
        <is>
          <t>OUTER_31</t>
        </is>
      </c>
      <c r="B34" s="5" t="inlineStr">
        <is>
          <t>CUT (#ED1C24)</t>
        </is>
      </c>
      <c r="C34" s="5" t="inlineStr">
        <is>
          <t>outer</t>
        </is>
      </c>
      <c r="D34" s="5" t="inlineStr">
        <is>
          <t>Bottom depth-tongue (mirror of top tongue group)</t>
        </is>
      </c>
      <c r="E34" s="5" t="inlineStr">
        <is>
          <t>Same rules as Seg 4–9 (lock + ramp + fillet)</t>
        </is>
      </c>
    </row>
    <row r="35">
      <c r="A35" s="5" t="inlineStr">
        <is>
          <t>OUTER_32</t>
        </is>
      </c>
      <c r="B35" s="5" t="inlineStr">
        <is>
          <t>CUT (#ED1C24)</t>
        </is>
      </c>
      <c r="C35" s="5" t="inlineStr">
        <is>
          <t>outer</t>
        </is>
      </c>
      <c r="D35" s="5" t="inlineStr">
        <is>
          <t>Bottom depth-tongue (mirror of top tongue group)</t>
        </is>
      </c>
      <c r="E35" s="5" t="inlineStr">
        <is>
          <t>Same rules as Seg 4–9 (lock + ramp + fillet)</t>
        </is>
      </c>
    </row>
    <row r="36">
      <c r="A36" s="5" t="inlineStr">
        <is>
          <t>OUTER_33</t>
        </is>
      </c>
      <c r="B36" s="5" t="inlineStr">
        <is>
          <t>CUT (#ED1C24)</t>
        </is>
      </c>
      <c r="C36" s="5" t="inlineStr">
        <is>
          <t>outer</t>
        </is>
      </c>
      <c r="D36" s="5" t="inlineStr">
        <is>
          <t>Bottom depth-tongue (mirror of top tongue group)</t>
        </is>
      </c>
      <c r="E36" s="5" t="inlineStr">
        <is>
          <t>Same rules as Seg 4–9 (lock + ramp + fillet)</t>
        </is>
      </c>
    </row>
    <row r="37">
      <c r="A37" s="5" t="inlineStr">
        <is>
          <t>OUTER_34</t>
        </is>
      </c>
      <c r="B37" s="5" t="inlineStr">
        <is>
          <t>CUT (#ED1C24)</t>
        </is>
      </c>
      <c r="C37" s="5" t="inlineStr">
        <is>
          <t>outer</t>
        </is>
      </c>
      <c r="D37" s="5" t="inlineStr">
        <is>
          <t>Bottom depth-tongue (mirror of top tongue group)</t>
        </is>
      </c>
      <c r="E37" s="5" t="inlineStr">
        <is>
          <t>Same rules as Seg 4–9 (lock + ramp + fillet)</t>
        </is>
      </c>
    </row>
    <row r="38">
      <c r="A38" s="5" t="inlineStr">
        <is>
          <t>OUTER_35</t>
        </is>
      </c>
      <c r="B38" s="5" t="inlineStr">
        <is>
          <t>CUT (#ED1C24)</t>
        </is>
      </c>
      <c r="C38" s="5" t="inlineStr">
        <is>
          <t>outer</t>
        </is>
      </c>
      <c r="D38" s="5" t="inlineStr">
        <is>
          <t>Bottom depth-tongue (mirror of top tongue group)</t>
        </is>
      </c>
      <c r="E38" s="5" t="inlineStr">
        <is>
          <t>Same rules as Seg 4–9 (lock + ramp + fillet)</t>
        </is>
      </c>
    </row>
    <row r="39">
      <c r="A39" s="5" t="inlineStr">
        <is>
          <t>OUTER_36</t>
        </is>
      </c>
      <c r="B39" s="5" t="inlineStr">
        <is>
          <t>CUT (#ED1C24)</t>
        </is>
      </c>
      <c r="C39" s="5" t="inlineStr">
        <is>
          <t>outer</t>
        </is>
      </c>
      <c r="D39" s="5" t="inlineStr">
        <is>
          <t>Bottom depth-tongue (mirror of top tongue group)</t>
        </is>
      </c>
      <c r="E39" s="5" t="inlineStr">
        <is>
          <t>Same rules as Seg 4–9 (lock + ramp + fillet)</t>
        </is>
      </c>
    </row>
    <row r="40">
      <c r="A40" s="5" t="inlineStr">
        <is>
          <t>OUTER_37</t>
        </is>
      </c>
      <c r="B40" s="5" t="inlineStr">
        <is>
          <t>CUT (#ED1C24)</t>
        </is>
      </c>
      <c r="C40" s="5" t="inlineStr">
        <is>
          <t>outer</t>
        </is>
      </c>
      <c r="D40" s="5" t="inlineStr">
        <is>
          <t>Bottom lid / face return path</t>
        </is>
      </c>
      <c r="E40" s="5" t="inlineStr">
        <is>
          <t>Anchored / Bézier mirror of Seg 11–16</t>
        </is>
      </c>
    </row>
    <row r="41">
      <c r="A41" s="5" t="inlineStr">
        <is>
          <t>OUTER_38</t>
        </is>
      </c>
      <c r="B41" s="5" t="inlineStr">
        <is>
          <t>CUT (#ED1C24)</t>
        </is>
      </c>
      <c r="C41" s="5" t="inlineStr">
        <is>
          <t>outer</t>
        </is>
      </c>
      <c r="D41" s="5" t="inlineStr">
        <is>
          <t>Bottom lid / face return path</t>
        </is>
      </c>
      <c r="E41" s="5" t="inlineStr">
        <is>
          <t>Anchored / Bézier mirror of Seg 11–16</t>
        </is>
      </c>
    </row>
    <row r="42">
      <c r="A42" s="5" t="inlineStr">
        <is>
          <t>OUTER_39</t>
        </is>
      </c>
      <c r="B42" s="5" t="inlineStr">
        <is>
          <t>CUT (#ED1C24)</t>
        </is>
      </c>
      <c r="C42" s="5" t="inlineStr">
        <is>
          <t>outer</t>
        </is>
      </c>
      <c r="D42" s="5" t="inlineStr">
        <is>
          <t>Bottom lid / face return path</t>
        </is>
      </c>
      <c r="E42" s="5" t="inlineStr">
        <is>
          <t>Anchored / Bézier mirror of Seg 11–16</t>
        </is>
      </c>
    </row>
    <row r="43">
      <c r="A43" s="5" t="inlineStr">
        <is>
          <t>OUTER_40</t>
        </is>
      </c>
      <c r="B43" s="5" t="inlineStr">
        <is>
          <t>CUT (#ED1C24)</t>
        </is>
      </c>
      <c r="C43" s="5" t="inlineStr">
        <is>
          <t>outer</t>
        </is>
      </c>
      <c r="D43" s="5" t="inlineStr">
        <is>
          <t>Bottom lid / face return path</t>
        </is>
      </c>
      <c r="E43" s="5" t="inlineStr">
        <is>
          <t>Anchored / Bézier mirror of Seg 11–16</t>
        </is>
      </c>
    </row>
    <row r="44">
      <c r="A44" s="5" t="inlineStr">
        <is>
          <t>OUTER_41</t>
        </is>
      </c>
      <c r="B44" s="5" t="inlineStr">
        <is>
          <t>CUT (#ED1C24)</t>
        </is>
      </c>
      <c r="C44" s="5" t="inlineStr">
        <is>
          <t>outer</t>
        </is>
      </c>
      <c r="D44" s="5" t="inlineStr">
        <is>
          <t>Bottom lid / face return path</t>
        </is>
      </c>
      <c r="E44" s="5" t="inlineStr">
        <is>
          <t>Anchored / Bézier mirror of Seg 11–16</t>
        </is>
      </c>
    </row>
    <row r="45">
      <c r="A45" s="5" t="inlineStr">
        <is>
          <t>OUTER_42</t>
        </is>
      </c>
      <c r="B45" s="5" t="inlineStr">
        <is>
          <t>CUT (#ED1C24)</t>
        </is>
      </c>
      <c r="C45" s="5" t="inlineStr">
        <is>
          <t>outer</t>
        </is>
      </c>
      <c r="D45" s="5" t="inlineStr">
        <is>
          <t>Bottom lid / face return path</t>
        </is>
      </c>
      <c r="E45" s="5" t="inlineStr">
        <is>
          <t>Anchored / Bézier mirror of Seg 11–16</t>
        </is>
      </c>
    </row>
    <row r="46">
      <c r="A46" s="5" t="inlineStr">
        <is>
          <t>OUTER_43</t>
        </is>
      </c>
      <c r="B46" s="5" t="inlineStr">
        <is>
          <t>CUT (#ED1C24)</t>
        </is>
      </c>
      <c r="C46" s="5" t="inlineStr">
        <is>
          <t>outer</t>
        </is>
      </c>
      <c r="D46" s="5" t="inlineStr">
        <is>
          <t>Bottom lid / face return path</t>
        </is>
      </c>
      <c r="E46" s="5" t="inlineStr">
        <is>
          <t>Anchored / Bézier mirror of Seg 11–16</t>
        </is>
      </c>
    </row>
    <row r="47">
      <c r="A47" s="5" t="inlineStr">
        <is>
          <t>OUTER_44</t>
        </is>
      </c>
      <c r="B47" s="5" t="inlineStr">
        <is>
          <t>CUT (#ED1C24)</t>
        </is>
      </c>
      <c r="C47" s="5" t="inlineStr">
        <is>
          <t>outer</t>
        </is>
      </c>
      <c r="D47" s="5" t="inlineStr">
        <is>
          <t>Bottom lid / face return path</t>
        </is>
      </c>
      <c r="E47" s="5" t="inlineStr">
        <is>
          <t>Anchored / Bézier mirror of Seg 11–16</t>
        </is>
      </c>
    </row>
    <row r="48">
      <c r="A48" s="5" t="inlineStr">
        <is>
          <t>OUTER_45</t>
        </is>
      </c>
      <c r="B48" s="5" t="inlineStr">
        <is>
          <t>CUT (#ED1C24)</t>
        </is>
      </c>
      <c r="C48" s="5" t="inlineStr">
        <is>
          <t>outer</t>
        </is>
      </c>
      <c r="D48" s="5" t="inlineStr">
        <is>
          <t>Glue-flap bottom return</t>
        </is>
      </c>
      <c r="E48" s="5" t="inlineStr">
        <is>
          <t>Anchored mirror of Seg 1–3</t>
        </is>
      </c>
    </row>
    <row r="49">
      <c r="A49" s="5" t="inlineStr">
        <is>
          <t>OUTER_46</t>
        </is>
      </c>
      <c r="B49" s="5" t="inlineStr">
        <is>
          <t>CUT (#ED1C24)</t>
        </is>
      </c>
      <c r="C49" s="5" t="inlineStr">
        <is>
          <t>outer</t>
        </is>
      </c>
      <c r="D49" s="5" t="inlineStr">
        <is>
          <t>Glue-flap bottom return</t>
        </is>
      </c>
      <c r="E49" s="5" t="inlineStr">
        <is>
          <t>Anchored mirror of Seg 1–3</t>
        </is>
      </c>
    </row>
    <row r="50">
      <c r="A50" s="5" t="inlineStr">
        <is>
          <t>OUTER_47</t>
        </is>
      </c>
      <c r="B50" s="5" t="inlineStr">
        <is>
          <t>CUT (#ED1C24)</t>
        </is>
      </c>
      <c r="C50" s="5" t="inlineStr">
        <is>
          <t>outer</t>
        </is>
      </c>
      <c r="D50" s="5" t="inlineStr">
        <is>
          <t>Glue-flap bottom return</t>
        </is>
      </c>
      <c r="E50" s="5" t="inlineStr">
        <is>
          <t>Anchored mirror of Seg 1–3</t>
        </is>
      </c>
    </row>
    <row r="51">
      <c r="A51" s="5" t="inlineStr">
        <is>
          <t>CUT_48</t>
        </is>
      </c>
      <c r="B51" s="5" t="inlineStr">
        <is>
          <t>CUT (#ED1C24)</t>
        </is>
      </c>
      <c r="C51" s="5" t="inlineStr">
        <is>
          <t>inner-cut</t>
        </is>
      </c>
      <c r="D51" s="5" t="inlineStr">
        <is>
          <t>Lock notch — top-left tongue</t>
        </is>
      </c>
      <c r="E51" s="5" t="inlineStr">
        <is>
          <t>Vertical, length = depthTongue + 2, downward</t>
        </is>
      </c>
    </row>
    <row r="52">
      <c r="A52" s="5" t="inlineStr">
        <is>
          <t>CUT_49</t>
        </is>
      </c>
      <c r="B52" s="5" t="inlineStr">
        <is>
          <t>CUT (#ED1C24)</t>
        </is>
      </c>
      <c r="C52" s="5" t="inlineStr">
        <is>
          <t>inner-cut</t>
        </is>
      </c>
      <c r="D52" s="5" t="inlineStr">
        <is>
          <t>Inner mark — top-left</t>
        </is>
      </c>
      <c r="E52" s="5" t="inlineStr">
        <is>
          <t>2.25mm, downward, #ED1C24</t>
        </is>
      </c>
    </row>
    <row r="53">
      <c r="A53" s="5" t="inlineStr">
        <is>
          <t>CUT_50</t>
        </is>
      </c>
      <c r="B53" s="5" t="inlineStr">
        <is>
          <t>CUT (#ED1C24)</t>
        </is>
      </c>
      <c r="C53" s="5" t="inlineStr">
        <is>
          <t>inner-cut</t>
        </is>
      </c>
      <c r="D53" s="5" t="inlineStr">
        <is>
          <t>Lock notch — top-right tongue</t>
        </is>
      </c>
      <c r="E53" s="5" t="inlineStr">
        <is>
          <t>Vertical, length = depthTongue + 2, downward</t>
        </is>
      </c>
    </row>
    <row r="54">
      <c r="A54" s="5" t="inlineStr">
        <is>
          <t>CUT_51</t>
        </is>
      </c>
      <c r="B54" s="5" t="inlineStr">
        <is>
          <t>CUT (#ED1C24)</t>
        </is>
      </c>
      <c r="C54" s="5" t="inlineStr">
        <is>
          <t>inner-cut</t>
        </is>
      </c>
      <c r="D54" s="5" t="inlineStr">
        <is>
          <t>Inner mark — top-right</t>
        </is>
      </c>
      <c r="E54" s="5" t="inlineStr">
        <is>
          <t>2.25mm, downward</t>
        </is>
      </c>
    </row>
    <row r="55">
      <c r="A55" s="5" t="inlineStr">
        <is>
          <t>CUT_52</t>
        </is>
      </c>
      <c r="B55" s="5" t="inlineStr">
        <is>
          <t>CUT (#ED1C24)</t>
        </is>
      </c>
      <c r="C55" s="5" t="inlineStr">
        <is>
          <t>inner-cut</t>
        </is>
      </c>
      <c r="D55" s="5" t="inlineStr">
        <is>
          <t>Lock notch — bottom-left tongue</t>
        </is>
      </c>
      <c r="E55" s="5" t="inlineStr">
        <is>
          <t>Vertical, length = depthTongue + 2, upward</t>
        </is>
      </c>
    </row>
    <row r="56">
      <c r="A56" s="5" t="inlineStr">
        <is>
          <t>CUT_53</t>
        </is>
      </c>
      <c r="B56" s="5" t="inlineStr">
        <is>
          <t>CUT (#ED1C24)</t>
        </is>
      </c>
      <c r="C56" s="5" t="inlineStr">
        <is>
          <t>inner-cut</t>
        </is>
      </c>
      <c r="D56" s="5" t="inlineStr">
        <is>
          <t>Inner mark — bottom-left</t>
        </is>
      </c>
      <c r="E56" s="5" t="inlineStr">
        <is>
          <t>2.25mm, upward</t>
        </is>
      </c>
    </row>
    <row r="57">
      <c r="A57" s="5" t="inlineStr">
        <is>
          <t>CUT_54</t>
        </is>
      </c>
      <c r="B57" s="5" t="inlineStr">
        <is>
          <t>CUT (#ED1C24)</t>
        </is>
      </c>
      <c r="C57" s="5" t="inlineStr">
        <is>
          <t>inner-cut</t>
        </is>
      </c>
      <c r="D57" s="5" t="inlineStr">
        <is>
          <t>Lock notch — bottom-right tongue</t>
        </is>
      </c>
      <c r="E57" s="5" t="inlineStr">
        <is>
          <t>Vertical, length = depthTongue + 2, upward</t>
        </is>
      </c>
    </row>
    <row r="58">
      <c r="A58" s="5" t="inlineStr">
        <is>
          <t>CUT_55</t>
        </is>
      </c>
      <c r="B58" s="5" t="inlineStr">
        <is>
          <t>CUT (#ED1C24)</t>
        </is>
      </c>
      <c r="C58" s="5" t="inlineStr">
        <is>
          <t>inner-cut</t>
        </is>
      </c>
      <c r="D58" s="5" t="inlineStr">
        <is>
          <t>Inner mark — bottom-right</t>
        </is>
      </c>
      <c r="E58" s="5" t="inlineStr">
        <is>
          <t>2.25mm, upward</t>
        </is>
      </c>
    </row>
    <row r="59">
      <c r="A59" s="5" t="inlineStr">
        <is>
          <t>CREASE_56</t>
        </is>
      </c>
      <c r="B59" s="5" t="inlineStr">
        <is>
          <t>CREASE (#00A651)</t>
        </is>
      </c>
      <c r="C59" s="5" t="inlineStr">
        <is>
          <t>crease</t>
        </is>
      </c>
      <c r="D59" s="5" t="inlineStr">
        <is>
          <t>Glue-flap / Face1 vertical crease</t>
        </is>
      </c>
      <c r="E59" s="5" t="inlineStr">
        <is>
          <t>Anchored to face boundary</t>
        </is>
      </c>
    </row>
    <row r="60">
      <c r="A60" s="5" t="inlineStr">
        <is>
          <t>CREASE_57</t>
        </is>
      </c>
      <c r="B60" s="5" t="inlineStr">
        <is>
          <t>CREASE (#00A651)</t>
        </is>
      </c>
      <c r="C60" s="5" t="inlineStr">
        <is>
          <t>crease</t>
        </is>
      </c>
      <c r="D60" s="5" t="inlineStr">
        <is>
          <t>Face1 / Face2 vertical crease</t>
        </is>
      </c>
      <c r="E60" s="5" t="inlineStr">
        <is>
          <t>Anchored to face boundary</t>
        </is>
      </c>
    </row>
    <row r="61">
      <c r="A61" s="5" t="inlineStr">
        <is>
          <t>CREASE_58</t>
        </is>
      </c>
      <c r="B61" s="5" t="inlineStr">
        <is>
          <t>CREASE (#00A651)</t>
        </is>
      </c>
      <c r="C61" s="5" t="inlineStr">
        <is>
          <t>crease</t>
        </is>
      </c>
      <c r="D61" s="5" t="inlineStr">
        <is>
          <t>Face2 / Face3 vertical crease</t>
        </is>
      </c>
      <c r="E61" s="5" t="inlineStr">
        <is>
          <t>Anchored to face boundary</t>
        </is>
      </c>
    </row>
    <row r="62">
      <c r="A62" s="5" t="inlineStr">
        <is>
          <t>CREASE_59</t>
        </is>
      </c>
      <c r="B62" s="5" t="inlineStr">
        <is>
          <t>CREASE (#00A651)</t>
        </is>
      </c>
      <c r="C62" s="5" t="inlineStr">
        <is>
          <t>crease</t>
        </is>
      </c>
      <c r="D62" s="5" t="inlineStr">
        <is>
          <t>Face3 / Face4 vertical crease</t>
        </is>
      </c>
      <c r="E62" s="5" t="inlineStr">
        <is>
          <t>Anchored to face boundary</t>
        </is>
      </c>
    </row>
    <row r="63">
      <c r="A63" s="5" t="inlineStr">
        <is>
          <t>CREASE_60</t>
        </is>
      </c>
      <c r="B63" s="5" t="inlineStr">
        <is>
          <t>CREASE (#00A651)</t>
        </is>
      </c>
      <c r="C63" s="5" t="inlineStr">
        <is>
          <t>crease</t>
        </is>
      </c>
      <c r="D63" s="5" t="inlineStr">
        <is>
          <t>Face1 top horizontal crease</t>
        </is>
      </c>
      <c r="E63" s="5" t="inlineStr">
        <is>
          <t>Anchored to face boundary</t>
        </is>
      </c>
    </row>
    <row r="64">
      <c r="A64" s="5" t="inlineStr">
        <is>
          <t>CREASE_61</t>
        </is>
      </c>
      <c r="B64" s="5" t="inlineStr">
        <is>
          <t>CREASE (#00A651)</t>
        </is>
      </c>
      <c r="C64" s="5" t="inlineStr">
        <is>
          <t>crease</t>
        </is>
      </c>
      <c r="D64" s="5" t="inlineStr">
        <is>
          <t>Face2 top horizontal crease</t>
        </is>
      </c>
      <c r="E64" s="5" t="inlineStr">
        <is>
          <t>Anchored to face boundary</t>
        </is>
      </c>
    </row>
    <row r="65">
      <c r="A65" s="5" t="inlineStr">
        <is>
          <t>CREASE_62</t>
        </is>
      </c>
      <c r="B65" s="5" t="inlineStr">
        <is>
          <t>CREASE (#00A651)</t>
        </is>
      </c>
      <c r="C65" s="5" t="inlineStr">
        <is>
          <t>crease</t>
        </is>
      </c>
      <c r="D65" s="5" t="inlineStr">
        <is>
          <t>Face3 top horizontal crease</t>
        </is>
      </c>
      <c r="E65" s="5" t="inlineStr">
        <is>
          <t>Anchored to face boundary</t>
        </is>
      </c>
    </row>
    <row r="66">
      <c r="A66" s="5" t="inlineStr">
        <is>
          <t>CREASE_63</t>
        </is>
      </c>
      <c r="B66" s="5" t="inlineStr">
        <is>
          <t>CREASE (#00A651)</t>
        </is>
      </c>
      <c r="C66" s="5" t="inlineStr">
        <is>
          <t>crease</t>
        </is>
      </c>
      <c r="D66" s="5" t="inlineStr">
        <is>
          <t>Face4 top horizontal crease</t>
        </is>
      </c>
      <c r="E66" s="5" t="inlineStr">
        <is>
          <t>Anchored to face boundary</t>
        </is>
      </c>
    </row>
    <row r="67">
      <c r="A67" s="5" t="inlineStr">
        <is>
          <t>CREASE_64</t>
        </is>
      </c>
      <c r="B67" s="5" t="inlineStr">
        <is>
          <t>CREASE (#00A651)</t>
        </is>
      </c>
      <c r="C67" s="5" t="inlineStr">
        <is>
          <t>crease</t>
        </is>
      </c>
      <c r="D67" s="5" t="inlineStr">
        <is>
          <t>Face1 bottom horizontal crease</t>
        </is>
      </c>
      <c r="E67" s="5" t="inlineStr">
        <is>
          <t>Anchored to face boundary</t>
        </is>
      </c>
    </row>
    <row r="68">
      <c r="A68" s="5" t="inlineStr">
        <is>
          <t>CREASE_65</t>
        </is>
      </c>
      <c r="B68" s="5" t="inlineStr">
        <is>
          <t>CREASE (#00A651)</t>
        </is>
      </c>
      <c r="C68" s="5" t="inlineStr">
        <is>
          <t>crease</t>
        </is>
      </c>
      <c r="D68" s="5" t="inlineStr">
        <is>
          <t>Face2 bottom horizontal crease</t>
        </is>
      </c>
      <c r="E68" s="5" t="inlineStr">
        <is>
          <t>Anchored to face boundary</t>
        </is>
      </c>
    </row>
    <row r="69">
      <c r="A69" s="5" t="inlineStr">
        <is>
          <t>CREASE_66</t>
        </is>
      </c>
      <c r="B69" s="5" t="inlineStr">
        <is>
          <t>CREASE (#00A651)</t>
        </is>
      </c>
      <c r="C69" s="5" t="inlineStr">
        <is>
          <t>crease</t>
        </is>
      </c>
      <c r="D69" s="5" t="inlineStr">
        <is>
          <t>Face3 bottom horizontal crease</t>
        </is>
      </c>
      <c r="E69" s="5" t="inlineStr">
        <is>
          <t>Anchored to face boundary</t>
        </is>
      </c>
    </row>
    <row r="70">
      <c r="A70" s="5" t="inlineStr">
        <is>
          <t>CREASE_67</t>
        </is>
      </c>
      <c r="B70" s="5" t="inlineStr">
        <is>
          <t>CREASE (#00A651)</t>
        </is>
      </c>
      <c r="C70" s="5" t="inlineStr">
        <is>
          <t>crease</t>
        </is>
      </c>
      <c r="D70" s="5" t="inlineStr">
        <is>
          <t>Face4 bottom horizontal crease</t>
        </is>
      </c>
      <c r="E70" s="5" t="inlineStr">
        <is>
          <t>Anchored to face boundary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38" customWidth="1" min="3" max="3"/>
    <col width="40" customWidth="1" min="4" max="4"/>
  </cols>
  <sheetData>
    <row r="1">
      <c r="A1" s="1" t="inlineStr">
        <is>
          <t>Parameter → Segment Influence</t>
        </is>
      </c>
    </row>
    <row r="3">
      <c r="A3" s="4" t="inlineStr">
        <is>
          <t>Parameter</t>
        </is>
      </c>
      <c r="B3" s="4" t="inlineStr">
        <is>
          <t>Affects Segments</t>
        </is>
      </c>
      <c r="C3" s="4" t="inlineStr">
        <is>
          <t>Does NOT affect</t>
        </is>
      </c>
      <c r="D3" s="4" t="inlineStr">
        <is>
          <t>Notes</t>
        </is>
      </c>
    </row>
    <row r="4">
      <c r="A4" s="5" t="inlineStr">
        <is>
          <t>width (W)</t>
        </is>
      </c>
      <c r="B4" s="5" t="inlineStr">
        <is>
          <t>All horizontal anchors (Faces 1–4), Lid base 11/15, mirrors</t>
        </is>
      </c>
      <c r="C4" s="5" t="inlineStr">
        <is>
          <t>Lid Bézier shape, Lock height</t>
        </is>
      </c>
      <c r="D4" s="5" t="inlineStr">
        <is>
          <t>Live default for Lock: W&lt;=25 → 3, else 5</t>
        </is>
      </c>
    </row>
    <row r="5">
      <c r="A5" s="5" t="inlineStr">
        <is>
          <t>height (H)</t>
        </is>
      </c>
      <c r="B5" s="5" t="inlineStr">
        <is>
          <t>Vertical anchors of Face panels, top/bottom CREASE Y</t>
        </is>
      </c>
      <c r="C5" s="5" t="inlineStr">
        <is>
          <t>Lid / depth-tongue geometry</t>
        </is>
      </c>
      <c r="D5" s="5" t="inlineStr"/>
    </row>
    <row r="6">
      <c r="A6" s="5" t="inlineStr">
        <is>
          <t>depth (D)</t>
        </is>
      </c>
      <c r="B6" s="5" t="inlineStr">
        <is>
          <t>Faces 2 &amp; 4 width, Cover_Vertical, autoDepthTongueTotalHeight</t>
        </is>
      </c>
      <c r="C6" s="5" t="inlineStr">
        <is>
          <t>Lid Bézier</t>
        </is>
      </c>
      <c r="D6" s="5" t="inlineStr"/>
    </row>
    <row r="7">
      <c r="A7" s="5" t="inlineStr">
        <is>
          <t>glueFlap (G)</t>
        </is>
      </c>
      <c r="B7" s="5" t="inlineStr">
        <is>
          <t>Seg 1/2/3 and mirrors 23/24/25, CREASE_56</t>
        </is>
      </c>
      <c r="C7" s="5" t="inlineStr">
        <is>
          <t>Everything else</t>
        </is>
      </c>
      <c r="D7" s="5" t="inlineStr"/>
    </row>
    <row r="8">
      <c r="A8" s="5" t="inlineStr">
        <is>
          <t>lidTongue</t>
        </is>
      </c>
      <c r="B8" s="5" t="inlineStr">
        <is>
          <t>Seg 12, 14, 41, 43 (Béziers ONLY)</t>
        </is>
      </c>
      <c r="C8" s="5" t="inlineStr">
        <is>
          <t>Depth tongues, faces</t>
        </is>
      </c>
      <c r="D8" s="5" t="inlineStr">
        <is>
          <t>Bezier preservation</t>
        </is>
      </c>
    </row>
    <row r="9">
      <c r="A9" s="5" t="inlineStr">
        <is>
          <t>depthTongue (Lock)</t>
        </is>
      </c>
      <c r="B9" s="5" t="inlineStr">
        <is>
          <t>Seg 4/22/29/33 height; CUT_48/50/52/54 length</t>
        </is>
      </c>
      <c r="C9" s="5" t="inlineStr">
        <is>
          <t>Lid, ramps Seg 6/7</t>
        </is>
      </c>
      <c r="D9" s="5" t="inlineStr">
        <is>
          <t>Anchor for ramp start</t>
        </is>
      </c>
    </row>
    <row r="10">
      <c r="A10" s="5" t="inlineStr">
        <is>
          <t>depthTongueTotalHeight</t>
        </is>
      </c>
      <c r="B10" s="5" t="inlineStr">
        <is>
          <t>Seg 6/7/8 vertical span (middle ramp flex)</t>
        </is>
      </c>
      <c r="C10" s="5" t="inlineStr">
        <is>
          <t>Lock, Seg 5/9 chamfers, lid</t>
        </is>
      </c>
      <c r="D10" s="5" t="inlineStr">
        <is>
          <t>Auto = lock + 2 + D/2</t>
        </is>
      </c>
    </row>
    <row r="11">
      <c r="A11" s="5" t="inlineStr">
        <is>
          <t>depthTongueCornerRadius</t>
        </is>
      </c>
      <c r="B11" s="5" t="inlineStr">
        <is>
          <t>Fillet at Seg 6↔7 and mirrors only</t>
        </is>
      </c>
      <c r="C11" s="5" t="inlineStr">
        <is>
          <t>Heights, widths, lock</t>
        </is>
      </c>
      <c r="D11" s="5" t="inlineStr">
        <is>
          <t>Auto-clamped to safe max</t>
        </is>
      </c>
    </row>
    <row r="12">
      <c r="A12" s="5" t="inlineStr">
        <is>
          <t>sheetWidth/Height/Margin/Gripper</t>
        </is>
      </c>
      <c r="B12" s="5" t="inlineStr">
        <is>
          <t>Nesting layout only</t>
        </is>
      </c>
      <c r="C12" s="5" t="inlineStr">
        <is>
          <t>Single template geometry</t>
        </is>
      </c>
      <c r="D12" s="5" t="inlineStr"/>
    </row>
    <row r="13">
      <c r="A13" s="5" t="inlineStr">
        <is>
          <t>hGap / vGap</t>
        </is>
      </c>
      <c r="B13" s="5" t="inlineStr">
        <is>
          <t>Final pitchX / pitchY only</t>
        </is>
      </c>
      <c r="C13" s="5" t="inlineStr">
        <is>
          <t>rowBrickDx, brickPhase, interlock geometry</t>
        </is>
      </c>
      <c r="D13" s="5" t="inlineStr">
        <is>
          <t>Gap added AFTER smart pitch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8" customWidth="1" min="3" max="3"/>
    <col width="46" customWidth="1" min="4" max="4"/>
  </cols>
  <sheetData>
    <row r="1">
      <c r="A1" s="1" t="inlineStr">
        <is>
          <t>Rules — Lid</t>
        </is>
      </c>
    </row>
    <row r="3">
      <c r="A3" s="4" t="inlineStr">
        <is>
          <t>Rule</t>
        </is>
      </c>
      <c r="B3" s="4" t="inlineStr">
        <is>
          <t>Formula / Value</t>
        </is>
      </c>
      <c r="C3" s="4" t="inlineStr">
        <is>
          <t>Applies To</t>
        </is>
      </c>
      <c r="D3" s="4" t="inlineStr">
        <is>
          <t>Notes</t>
        </is>
      </c>
    </row>
    <row r="4">
      <c r="A4" s="5" t="inlineStr">
        <is>
          <t>Lid Bézier control height</t>
        </is>
      </c>
      <c r="B4" s="5" t="inlineStr">
        <is>
          <t>lidTongue (mm)</t>
        </is>
      </c>
      <c r="C4" s="5" t="inlineStr">
        <is>
          <t>Seg 12, 14, 41, 43</t>
        </is>
      </c>
      <c r="D4" s="5" t="inlineStr">
        <is>
          <t>Bezier control points scale with lidTongue; anchors fixed</t>
        </is>
      </c>
    </row>
    <row r="5">
      <c r="A5" s="5" t="inlineStr">
        <is>
          <t>Lid base attaches to face</t>
        </is>
      </c>
      <c r="B5" s="5" t="inlineStr">
        <is>
          <t>x = ±W/2 from face center</t>
        </is>
      </c>
      <c r="C5" s="5" t="inlineStr">
        <is>
          <t>Seg 11/15 and mirrors</t>
        </is>
      </c>
      <c r="D5" s="5" t="inlineStr"/>
    </row>
    <row r="6">
      <c r="A6" s="5" t="inlineStr">
        <is>
          <t>Lid horizontal top</t>
        </is>
      </c>
      <c r="B6" s="5" t="inlineStr">
        <is>
          <t>Anchored</t>
        </is>
      </c>
      <c r="C6" s="5" t="inlineStr">
        <is>
          <t>Seg 13</t>
        </is>
      </c>
      <c r="D6" s="5" t="inlineStr">
        <is>
          <t>Length = W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8" customWidth="1" min="3" max="3"/>
    <col width="46" customWidth="1" min="4" max="4"/>
  </cols>
  <sheetData>
    <row r="1">
      <c r="A1" s="1" t="inlineStr">
        <is>
          <t>Rules — Lid Tongue Béziers</t>
        </is>
      </c>
    </row>
    <row r="3">
      <c r="A3" s="4" t="inlineStr">
        <is>
          <t>Rule</t>
        </is>
      </c>
      <c r="B3" s="4" t="inlineStr">
        <is>
          <t>Formula / Value</t>
        </is>
      </c>
      <c r="C3" s="4" t="inlineStr">
        <is>
          <t>Applies To</t>
        </is>
      </c>
      <c r="D3" s="4" t="inlineStr">
        <is>
          <t>Notes</t>
        </is>
      </c>
    </row>
    <row r="4">
      <c r="A4" s="5" t="inlineStr">
        <is>
          <t>Bezier preservation</t>
        </is>
      </c>
      <c r="B4" s="5" t="inlineStr">
        <is>
          <t>Control points scaled, never linearized</t>
        </is>
      </c>
      <c r="C4" s="5" t="inlineStr">
        <is>
          <t>Seg 12/14/41/43</t>
        </is>
      </c>
      <c r="D4" s="5" t="inlineStr">
        <is>
          <t>Anchor + Delta only</t>
        </is>
      </c>
    </row>
    <row r="5">
      <c r="A5" s="5" t="inlineStr">
        <is>
          <t>No global scale</t>
        </is>
      </c>
      <c r="B5" s="5" t="inlineStr">
        <is>
          <t>Each control offset computed in mm</t>
        </is>
      </c>
      <c r="C5" s="5" t="inlineStr">
        <is>
          <t>All Béziers</t>
        </is>
      </c>
      <c r="D5" s="5" t="inlineStr">
        <is>
          <t>Forbidden: viewBox scaling for shape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8" customWidth="1" min="3" max="3"/>
    <col width="46" customWidth="1" min="4" max="4"/>
  </cols>
  <sheetData>
    <row r="1">
      <c r="A1" s="1" t="inlineStr">
        <is>
          <t>Rules — Lock (depthTongue)</t>
        </is>
      </c>
    </row>
    <row r="3">
      <c r="A3" s="4" t="inlineStr">
        <is>
          <t>Rule</t>
        </is>
      </c>
      <c r="B3" s="4" t="inlineStr">
        <is>
          <t>Formula / Value</t>
        </is>
      </c>
      <c r="C3" s="4" t="inlineStr">
        <is>
          <t>Applies To</t>
        </is>
      </c>
      <c r="D3" s="4" t="inlineStr">
        <is>
          <t>Notes</t>
        </is>
      </c>
    </row>
    <row r="4">
      <c r="A4" s="5" t="inlineStr">
        <is>
          <t>Live default</t>
        </is>
      </c>
      <c r="B4" s="5" t="inlineStr">
        <is>
          <t>W &lt;= 25 ? 3 : 5</t>
        </is>
      </c>
      <c r="C4" s="5" t="inlineStr">
        <is>
          <t>depthTongue</t>
        </is>
      </c>
      <c r="D4" s="5" t="inlineStr">
        <is>
          <t>Manual override wins (depthTongueTouched)</t>
        </is>
      </c>
    </row>
    <row r="5">
      <c r="A5" s="5" t="inlineStr">
        <is>
          <t>Affects vertical legs</t>
        </is>
      </c>
      <c r="B5" s="5" t="inlineStr">
        <is>
          <t>height = depthTongue</t>
        </is>
      </c>
      <c r="C5" s="5" t="inlineStr">
        <is>
          <t>Seg 4/22/29/33</t>
        </is>
      </c>
    </row>
    <row r="6">
      <c r="A6" s="5" t="inlineStr">
        <is>
          <t>Affects inner cuts</t>
        </is>
      </c>
      <c r="B6" s="5" t="inlineStr">
        <is>
          <t>length = depthTongue + 2</t>
        </is>
      </c>
      <c r="C6" s="5" t="inlineStr">
        <is>
          <t>CUT_48/50/52/54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8" customWidth="1" min="3" max="3"/>
    <col width="46" customWidth="1" min="4" max="4"/>
  </cols>
  <sheetData>
    <row r="1">
      <c r="A1" s="1" t="inlineStr">
        <is>
          <t>Rules — Depth Tongue Total Height</t>
        </is>
      </c>
    </row>
    <row r="3">
      <c r="A3" s="4" t="inlineStr">
        <is>
          <t>Rule</t>
        </is>
      </c>
      <c r="B3" s="4" t="inlineStr">
        <is>
          <t>Formula / Value</t>
        </is>
      </c>
      <c r="C3" s="4" t="inlineStr">
        <is>
          <t>Applies To</t>
        </is>
      </c>
      <c r="D3" s="4" t="inlineStr">
        <is>
          <t>Notes</t>
        </is>
      </c>
    </row>
    <row r="4">
      <c r="A4" s="5" t="inlineStr">
        <is>
          <t>Auto default</t>
        </is>
      </c>
      <c r="B4" s="5" t="inlineStr">
        <is>
          <t>lock + 2 + depth/2</t>
        </is>
      </c>
      <c r="C4" s="5" t="inlineStr">
        <is>
          <t>depthTongueTotalHeight</t>
        </is>
      </c>
      <c r="D4" s="5" t="inlineStr">
        <is>
          <t>Live unless user types</t>
        </is>
      </c>
    </row>
    <row r="5">
      <c r="A5" s="5" t="inlineStr">
        <is>
          <t>Flex region</t>
        </is>
      </c>
      <c r="B5" s="5" t="inlineStr">
        <is>
          <t>Middle ramp Seg 6/7 only</t>
        </is>
      </c>
      <c r="C5" s="5" t="inlineStr">
        <is>
          <t>All four tongues</t>
        </is>
      </c>
      <c r="D5" s="5" t="inlineStr">
        <is>
          <t>Lock + chamfers stay fixed</t>
        </is>
      </c>
    </row>
    <row r="6">
      <c r="A6" s="5" t="inlineStr">
        <is>
          <t>Corner fillet</t>
        </is>
      </c>
      <c r="B6" s="5" t="inlineStr">
        <is>
          <t>Tangent arc at Seg 6↔7 meeting</t>
        </is>
      </c>
      <c r="C6" s="5" t="inlineStr">
        <is>
          <t>depthTongueCornerRadius&gt;0</t>
        </is>
      </c>
      <c r="D6" s="5" t="inlineStr">
        <is>
          <t>Auto-clamped to max safe R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8" customWidth="1" min="3" max="3"/>
    <col width="46" customWidth="1" min="4" max="4"/>
  </cols>
  <sheetData>
    <row r="1">
      <c r="A1" s="1" t="inlineStr">
        <is>
          <t>Rules — Inner Cut (CUT_48..55)</t>
        </is>
      </c>
    </row>
    <row r="3">
      <c r="A3" s="4" t="inlineStr">
        <is>
          <t>Rule</t>
        </is>
      </c>
      <c r="B3" s="4" t="inlineStr">
        <is>
          <t>Formula / Value</t>
        </is>
      </c>
      <c r="C3" s="4" t="inlineStr">
        <is>
          <t>Applies To</t>
        </is>
      </c>
      <c r="D3" s="4" t="inlineStr">
        <is>
          <t>Notes</t>
        </is>
      </c>
    </row>
    <row r="4">
      <c r="A4" s="5" t="inlineStr">
        <is>
          <t>Color</t>
        </is>
      </c>
      <c r="B4" s="5" t="inlineStr">
        <is>
          <t>#ED1C24</t>
        </is>
      </c>
      <c r="C4" s="5" t="inlineStr">
        <is>
          <t>All</t>
        </is>
      </c>
      <c r="D4" s="5" t="inlineStr"/>
    </row>
    <row r="5">
      <c r="A5" s="5" t="inlineStr">
        <is>
          <t>Stroke width</t>
        </is>
      </c>
      <c r="B5" s="5" t="inlineStr">
        <is>
          <t>&gt;= OUTER stroke</t>
        </is>
      </c>
      <c r="C5" s="5" t="inlineStr">
        <is>
          <t>All</t>
        </is>
      </c>
      <c r="D5" s="5" t="inlineStr">
        <is>
          <t>Visibility requirement</t>
        </is>
      </c>
    </row>
    <row r="6">
      <c r="A6" s="5" t="inlineStr">
        <is>
          <t>CUT_49 / CUT_51</t>
        </is>
      </c>
      <c r="B6" s="5" t="inlineStr">
        <is>
          <t>Length 2.25mm, downward</t>
        </is>
      </c>
      <c r="C6" s="5" t="inlineStr">
        <is>
          <t>Top tongues</t>
        </is>
      </c>
      <c r="D6" s="5" t="inlineStr"/>
    </row>
    <row r="7">
      <c r="A7" s="5" t="inlineStr">
        <is>
          <t>CUT_53 / CUT_55</t>
        </is>
      </c>
      <c r="B7" s="5" t="inlineStr">
        <is>
          <t>Length 2.25mm, upward</t>
        </is>
      </c>
      <c r="C7" s="5" t="inlineStr">
        <is>
          <t>Bottom tongues</t>
        </is>
      </c>
      <c r="D7" s="5" t="inlineStr"/>
    </row>
    <row r="8">
      <c r="A8" s="5" t="inlineStr">
        <is>
          <t>Layer order</t>
        </is>
      </c>
      <c r="B8" s="5" t="inlineStr">
        <is>
          <t>CREASE → OUTER → CUT (CUT topmost)</t>
        </is>
      </c>
      <c r="C8" s="5" t="inlineStr">
        <is>
          <t>SVG export</t>
        </is>
      </c>
      <c r="D8" s="5" t="inlineStr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8" customWidth="1" min="3" max="3"/>
    <col width="46" customWidth="1" min="4" max="4"/>
  </cols>
  <sheetData>
    <row r="1">
      <c r="A1" s="1" t="inlineStr">
        <is>
          <t>Rules — Crease (56..67)</t>
        </is>
      </c>
    </row>
    <row r="3">
      <c r="A3" s="4" t="inlineStr">
        <is>
          <t>Rule</t>
        </is>
      </c>
      <c r="B3" s="4" t="inlineStr">
        <is>
          <t>Formula / Value</t>
        </is>
      </c>
      <c r="C3" s="4" t="inlineStr">
        <is>
          <t>Applies To</t>
        </is>
      </c>
      <c r="D3" s="4" t="inlineStr">
        <is>
          <t>Notes</t>
        </is>
      </c>
    </row>
    <row r="4">
      <c r="A4" s="5" t="inlineStr">
        <is>
          <t>Color</t>
        </is>
      </c>
      <c r="B4" s="5" t="inlineStr">
        <is>
          <t>#00A651</t>
        </is>
      </c>
      <c r="C4" s="5" t="inlineStr">
        <is>
          <t>All</t>
        </is>
      </c>
      <c r="D4" s="5" t="inlineStr"/>
    </row>
    <row r="5">
      <c r="A5" s="5" t="inlineStr">
        <is>
          <t>Count</t>
        </is>
      </c>
      <c r="B5" s="5" t="inlineStr">
        <is>
          <t>12 (4 vertical + 8 horizontal)</t>
        </is>
      </c>
      <c r="C5" s="5" t="inlineStr"/>
      <c r="D5" s="5" t="inlineStr"/>
    </row>
    <row r="6">
      <c r="A6" s="5" t="inlineStr">
        <is>
          <t>Anchored to face boundary</t>
        </is>
      </c>
      <c r="B6" s="5" t="inlineStr">
        <is>
          <t>x or y = face edge</t>
        </is>
      </c>
      <c r="C6" s="5" t="inlineStr">
        <is>
          <t>All</t>
        </is>
      </c>
      <c r="D6" s="5" t="inlineStr">
        <is>
          <t>No flex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22" customWidth="1" min="3" max="3"/>
  </cols>
  <sheetData>
    <row r="1">
      <c r="A1" s="1" t="inlineStr">
        <is>
          <t>Derived Dimensions (Dynamic Output)</t>
        </is>
      </c>
    </row>
    <row r="3">
      <c r="A3" s="4" t="inlineStr">
        <is>
          <t>Derived</t>
        </is>
      </c>
      <c r="B3" s="4" t="inlineStr">
        <is>
          <t>Formula</t>
        </is>
      </c>
      <c r="C3" s="4" t="inlineStr">
        <is>
          <t>Reference Value (mm)</t>
        </is>
      </c>
    </row>
    <row r="4">
      <c r="A4" s="5" t="inlineStr">
        <is>
          <t>Face Height</t>
        </is>
      </c>
      <c r="B4" s="5" t="inlineStr">
        <is>
          <t>H + 0.5</t>
        </is>
      </c>
      <c r="C4" s="5" t="n">
        <v>130.5</v>
      </c>
    </row>
    <row r="5">
      <c r="A5" s="5" t="inlineStr">
        <is>
          <t>Depth1 (Faces 2)</t>
        </is>
      </c>
      <c r="B5" s="5" t="inlineStr">
        <is>
          <t>D</t>
        </is>
      </c>
      <c r="C5" s="5" t="n">
        <v>40</v>
      </c>
    </row>
    <row r="6">
      <c r="A6" s="5" t="inlineStr">
        <is>
          <t>Depth2 (Faces 4)</t>
        </is>
      </c>
      <c r="B6" s="5" t="inlineStr">
        <is>
          <t>D − 0.5</t>
        </is>
      </c>
      <c r="C6" s="5" t="n">
        <v>39.5</v>
      </c>
    </row>
    <row r="7">
      <c r="A7" s="5" t="inlineStr">
        <is>
          <t>Cover Vertical</t>
        </is>
      </c>
      <c r="B7" s="5" t="inlineStr">
        <is>
          <t>D − 0.25</t>
        </is>
      </c>
      <c r="C7" s="5" t="n">
        <v>39.75</v>
      </c>
    </row>
    <row r="8">
      <c r="A8" s="5" t="inlineStr">
        <is>
          <t>Lid Bézier Height</t>
        </is>
      </c>
      <c r="B8" s="5" t="inlineStr">
        <is>
          <t>lidTongue</t>
        </is>
      </c>
      <c r="C8" s="5" t="n">
        <v>14.25</v>
      </c>
    </row>
    <row r="9">
      <c r="A9" s="5" t="inlineStr">
        <is>
          <t>Seg 4 Height (Lock)</t>
        </is>
      </c>
      <c r="B9" s="5" t="inlineStr">
        <is>
          <t>user, default W&lt;=25?3:5</t>
        </is>
      </c>
      <c r="C9" s="5" t="n">
        <v>5</v>
      </c>
    </row>
    <row r="10">
      <c r="A10" s="5" t="inlineStr">
        <is>
          <t>Depth Tongue Total Height</t>
        </is>
      </c>
      <c r="B10" s="5" t="inlineStr">
        <is>
          <t>lock + 2 + D/2 (auto)</t>
        </is>
      </c>
      <c r="C10" s="5" t="n">
        <v>27</v>
      </c>
    </row>
    <row r="11">
      <c r="A11" s="5" t="inlineStr">
        <is>
          <t>Total Layout Width</t>
        </is>
      </c>
      <c r="B11" s="5" t="inlineStr">
        <is>
          <t>G + W + D + W + D (≈ Σ faces + glue)</t>
        </is>
      </c>
      <c r="C11" s="5" t="n">
        <v>182</v>
      </c>
    </row>
    <row r="12">
      <c r="A12" s="5" t="inlineStr">
        <is>
          <t>Total Layout Height</t>
        </is>
      </c>
      <c r="B12" s="5" t="inlineStr">
        <is>
          <t>faceHeight + 2×(depthTongueTotalHeight) (approx)</t>
        </is>
      </c>
      <c r="C12" s="5" t="n">
        <v>184.5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40" customWidth="1" min="4" max="4"/>
  </cols>
  <sheetData>
    <row r="1">
      <c r="A1" s="1" t="inlineStr">
        <is>
          <t>Input Ranges (Practical)</t>
        </is>
      </c>
    </row>
    <row r="3">
      <c r="A3" s="4" t="inlineStr">
        <is>
          <t>Input</t>
        </is>
      </c>
      <c r="B3" s="4" t="inlineStr">
        <is>
          <t>Min</t>
        </is>
      </c>
      <c r="C3" s="4" t="inlineStr">
        <is>
          <t>Max</t>
        </is>
      </c>
      <c r="D3" s="4" t="inlineStr">
        <is>
          <t>Notes</t>
        </is>
      </c>
    </row>
    <row r="4">
      <c r="A4" s="5" t="inlineStr">
        <is>
          <t>width</t>
        </is>
      </c>
      <c r="B4" s="5" t="n">
        <v>15</v>
      </c>
      <c r="C4" s="5" t="n">
        <v>400</v>
      </c>
      <c r="D4" s="5" t="inlineStr">
        <is>
          <t>Below 25 triggers Lock live default = 3</t>
        </is>
      </c>
    </row>
    <row r="5">
      <c r="A5" s="5" t="inlineStr">
        <is>
          <t>height</t>
        </is>
      </c>
      <c r="B5" s="5" t="n">
        <v>30</v>
      </c>
      <c r="C5" s="5" t="n">
        <v>600</v>
      </c>
      <c r="D5" s="5" t="inlineStr"/>
    </row>
    <row r="6">
      <c r="A6" s="5" t="inlineStr">
        <is>
          <t>depth</t>
        </is>
      </c>
      <c r="B6" s="5" t="n">
        <v>10</v>
      </c>
      <c r="C6" s="5" t="n">
        <v>300</v>
      </c>
      <c r="D6" s="5" t="inlineStr">
        <is>
          <t>Affects depthTongueTotalHeight auto</t>
        </is>
      </c>
    </row>
    <row r="7">
      <c r="A7" s="5" t="inlineStr">
        <is>
          <t>glueFlap</t>
        </is>
      </c>
      <c r="B7" s="5" t="n">
        <v>6</v>
      </c>
      <c r="C7" s="5" t="n">
        <v>30</v>
      </c>
      <c r="D7" s="5" t="inlineStr"/>
    </row>
    <row r="8">
      <c r="A8" s="5" t="inlineStr">
        <is>
          <t>lidTongue</t>
        </is>
      </c>
      <c r="B8" s="5" t="n">
        <v>4</v>
      </c>
      <c r="C8" s="5" t="n">
        <v>40</v>
      </c>
      <c r="D8" s="5" t="inlineStr"/>
    </row>
    <row r="9">
      <c r="A9" s="5" t="inlineStr">
        <is>
          <t>depthTongue (Lock)</t>
        </is>
      </c>
      <c r="B9" s="5" t="n">
        <v>2</v>
      </c>
      <c r="C9" s="5" t="n">
        <v>15</v>
      </c>
      <c r="D9" s="5" t="inlineStr"/>
    </row>
    <row r="10">
      <c r="A10" s="5" t="inlineStr">
        <is>
          <t>depthTongueTotalHeight</t>
        </is>
      </c>
      <c r="B10" s="5" t="inlineStr">
        <is>
          <t>lock + 2</t>
        </is>
      </c>
      <c r="C10" s="5" t="inlineStr">
        <is>
          <t>≈ H/2</t>
        </is>
      </c>
      <c r="D10" s="5" t="inlineStr">
        <is>
          <t>Engine clamps internally</t>
        </is>
      </c>
    </row>
    <row r="11">
      <c r="A11" s="5" t="inlineStr">
        <is>
          <t>depthTongueCornerRadius</t>
        </is>
      </c>
      <c r="B11" s="5" t="n">
        <v>0</v>
      </c>
      <c r="C11" s="5" t="inlineStr">
        <is>
          <t>auto-clamped</t>
        </is>
      </c>
      <c r="D11" s="5" t="inlineStr">
        <is>
          <t>Tangent safety</t>
        </is>
      </c>
    </row>
    <row r="12">
      <c r="A12" s="5" t="inlineStr">
        <is>
          <t>sheetWidth</t>
        </is>
      </c>
      <c r="B12" s="5" t="n">
        <v>200</v>
      </c>
      <c r="C12" s="5" t="n">
        <v>1600</v>
      </c>
      <c r="D12" s="5" t="inlineStr"/>
    </row>
    <row r="13">
      <c r="A13" s="5" t="inlineStr">
        <is>
          <t>sheetHeight</t>
        </is>
      </c>
      <c r="B13" s="5" t="n">
        <v>200</v>
      </c>
      <c r="C13" s="5" t="n">
        <v>2000</v>
      </c>
      <c r="D13" s="5" t="inlineStr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1" t="inlineStr">
        <is>
          <t>Footprint &amp; Pitch</t>
        </is>
      </c>
    </row>
    <row r="3">
      <c r="A3" s="4" t="inlineStr">
        <is>
          <t>Field</t>
        </is>
      </c>
      <c r="B3" s="4" t="inlineStr">
        <is>
          <t>Formula</t>
        </is>
      </c>
      <c r="C3" s="4" t="inlineStr">
        <is>
          <t>Notes</t>
        </is>
      </c>
    </row>
    <row r="4">
      <c r="A4" s="5" t="inlineStr">
        <is>
          <t>BBox Width</t>
        </is>
      </c>
      <c r="B4" s="5" t="inlineStr">
        <is>
          <t>max(x) − min(x) of OUTER+CUT</t>
        </is>
      </c>
      <c r="C4" s="5" t="inlineStr">
        <is>
          <t>Live from geometry</t>
        </is>
      </c>
    </row>
    <row r="5">
      <c r="A5" s="5" t="inlineStr">
        <is>
          <t>BBox Height</t>
        </is>
      </c>
      <c r="B5" s="5" t="inlineStr">
        <is>
          <t>max(y) − min(y) of OUTER+CUT</t>
        </is>
      </c>
      <c r="C5" s="5" t="inlineStr"/>
    </row>
    <row r="6">
      <c r="A6" s="5" t="inlineStr">
        <is>
          <t>Pitch Base X (Smart)</t>
        </is>
      </c>
      <c r="B6" s="5" t="inlineStr">
        <is>
          <t>Tightest collision-free dx via raster mask</t>
        </is>
      </c>
      <c r="C6" s="5" t="inlineStr">
        <is>
          <t>gap=0 inflation</t>
        </is>
      </c>
    </row>
    <row r="7">
      <c r="A7" s="5" t="inlineStr">
        <is>
          <t>Pitch Base Y (Smart)</t>
        </is>
      </c>
      <c r="B7" s="5" t="inlineStr">
        <is>
          <t>Tightest collision-free dy via raster mask</t>
        </is>
      </c>
      <c r="C7" s="5" t="inlineStr">
        <is>
          <t>gap=0 inflation</t>
        </is>
      </c>
    </row>
    <row r="8">
      <c r="A8" s="5" t="inlineStr">
        <is>
          <t>Final Pitch X</t>
        </is>
      </c>
      <c r="B8" s="5" t="inlineStr">
        <is>
          <t>Pitch Base X + Horizontal_Gap</t>
        </is>
      </c>
      <c r="C8" s="5" t="inlineStr">
        <is>
          <t>Gap is pure safety</t>
        </is>
      </c>
    </row>
    <row r="9">
      <c r="A9" s="5" t="inlineStr">
        <is>
          <t>Final Pitch Y</t>
        </is>
      </c>
      <c r="B9" s="5" t="inlineStr">
        <is>
          <t>Pitch Base Y + Vertical_Gap</t>
        </is>
      </c>
      <c r="C9" s="5" t="inlineStr">
        <is>
          <t>Gap is pure safety</t>
        </is>
      </c>
    </row>
    <row r="10">
      <c r="A10" s="5" t="inlineStr">
        <is>
          <t>rowBrickDx</t>
        </is>
      </c>
      <c r="B10" s="5" t="inlineStr">
        <is>
          <t>Alternate-row horizontal shift for tongue interlocking</t>
        </is>
      </c>
      <c r="C10" s="5" t="inlineStr">
        <is>
          <t>Geometric, independent of gaps</t>
        </is>
      </c>
    </row>
    <row r="11">
      <c r="A11" s="5" t="inlineStr">
        <is>
          <t>brickPhase</t>
        </is>
      </c>
      <c r="B11" s="5" t="inlineStr">
        <is>
          <t>0 or 1 — which rows receive the shift</t>
        </is>
      </c>
      <c r="C11" s="5" t="inlineStr">
        <is>
          <t>Picked for max total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50" customWidth="1" min="3" max="3"/>
  </cols>
  <sheetData>
    <row r="1">
      <c r="A1" s="1" t="inlineStr">
        <is>
          <t>Preview = Export Contract</t>
        </is>
      </c>
    </row>
    <row r="3">
      <c r="A3" s="4" t="inlineStr">
        <is>
          <t>Rule</t>
        </is>
      </c>
      <c r="B3" s="4" t="inlineStr">
        <is>
          <t>Enforced</t>
        </is>
      </c>
      <c r="C3" s="4" t="inlineStr">
        <is>
          <t>Forbidden</t>
        </is>
      </c>
    </row>
    <row r="4">
      <c r="A4" s="5" t="inlineStr">
        <is>
          <t>Units</t>
        </is>
      </c>
      <c r="B4" s="5" t="inlineStr">
        <is>
          <t>mm</t>
        </is>
      </c>
      <c r="C4" s="5" t="inlineStr">
        <is>
          <t>px, pt</t>
        </is>
      </c>
    </row>
    <row r="5">
      <c r="A5" s="5" t="inlineStr">
        <is>
          <t>Coordinates</t>
        </is>
      </c>
      <c r="B5" s="5" t="inlineStr">
        <is>
          <t>Absolute mm</t>
        </is>
      </c>
      <c r="C5" s="5" t="inlineStr">
        <is>
          <t>Global scale, transforms-as-scale</t>
        </is>
      </c>
    </row>
    <row r="6">
      <c r="A6" s="5" t="inlineStr">
        <is>
          <t>SVG features</t>
        </is>
      </c>
      <c r="B6" s="5" t="inlineStr">
        <is>
          <t>&lt;g&gt;, &lt;path&gt;, &lt;line&gt;</t>
        </is>
      </c>
      <c r="C6" s="5" t="inlineStr">
        <is>
          <t>&lt;use&gt;, &lt;clipPath&gt;, &lt;symbol&gt;, &lt;foreignObject&gt;, raster &lt;image&gt;</t>
        </is>
      </c>
    </row>
    <row r="7">
      <c r="A7" s="5" t="inlineStr">
        <is>
          <t>Layer order</t>
        </is>
      </c>
      <c r="B7" s="5" t="inlineStr">
        <is>
          <t>CREASE → OUTER → CUT</t>
        </is>
      </c>
      <c r="C7" s="5" t="inlineStr">
        <is>
          <t>Any other order</t>
        </is>
      </c>
    </row>
    <row r="8">
      <c r="A8" s="5" t="inlineStr">
        <is>
          <t>Stroke widths</t>
        </is>
      </c>
      <c r="B8" s="5" t="inlineStr">
        <is>
          <t>Fixed mm (CUT ≥ OUTER)</t>
        </is>
      </c>
      <c r="C8" s="5" t="inlineStr">
        <is>
          <t>Variable / hairline</t>
        </is>
      </c>
    </row>
    <row r="9">
      <c r="A9" s="5" t="inlineStr">
        <is>
          <t>Single template export = preview</t>
        </is>
      </c>
      <c r="B9" s="5" t="inlineStr">
        <is>
          <t>Same path data</t>
        </is>
      </c>
      <c r="C9" s="5" t="inlineStr">
        <is>
          <t>Re-flattened or rasterized export</t>
        </is>
      </c>
    </row>
    <row r="10">
      <c r="A10" s="5" t="inlineStr">
        <is>
          <t>Sheet export = preview</t>
        </is>
      </c>
      <c r="B10" s="5" t="inlineStr">
        <is>
          <t>Pixel-for-pixel via placement loop</t>
        </is>
      </c>
      <c r="C10" s="5" t="inlineStr">
        <is>
          <t>Different orientation/clamp logic</t>
        </is>
      </c>
    </row>
    <row r="11">
      <c r="A11" s="5" t="inlineStr">
        <is>
          <t>XML namespaces</t>
        </is>
      </c>
      <c r="B11" s="5" t="inlineStr">
        <is>
          <t>xmlns + xmlns:inkscape</t>
        </is>
      </c>
      <c r="C11" s="5" t="inlineStr">
        <is>
          <t>Missing namespaces (blocks Illustrator open)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2" customWidth="1" min="4" max="4"/>
    <col width="12" customWidth="1" min="5" max="5"/>
  </cols>
  <sheetData>
    <row r="1">
      <c r="A1" s="1" t="inlineStr">
        <is>
          <t>Layer Protocol</t>
        </is>
      </c>
    </row>
    <row r="3">
      <c r="A3" s="4" t="inlineStr">
        <is>
          <t>Layer</t>
        </is>
      </c>
      <c r="B3" s="4" t="inlineStr">
        <is>
          <t>Members</t>
        </is>
      </c>
      <c r="C3" s="4" t="inlineStr">
        <is>
          <t>Color</t>
        </is>
      </c>
      <c r="D3" s="4" t="inlineStr">
        <is>
          <t>Stroke Width (mm)</t>
        </is>
      </c>
      <c r="E3" s="4" t="inlineStr">
        <is>
          <t>Z-Order</t>
        </is>
      </c>
    </row>
    <row r="4">
      <c r="A4" s="5" t="inlineStr">
        <is>
          <t>CREASE</t>
        </is>
      </c>
      <c r="B4" s="5" t="inlineStr">
        <is>
          <t>Seg 56–67</t>
        </is>
      </c>
      <c r="C4" s="5" t="inlineStr">
        <is>
          <t>#00A651</t>
        </is>
      </c>
      <c r="D4" s="5" t="inlineStr">
        <is>
          <t>0.10</t>
        </is>
      </c>
      <c r="E4" s="5" t="inlineStr">
        <is>
          <t>Bottom</t>
        </is>
      </c>
    </row>
    <row r="5">
      <c r="A5" s="5" t="inlineStr">
        <is>
          <t>OUTER</t>
        </is>
      </c>
      <c r="B5" s="5" t="inlineStr">
        <is>
          <t>Seg 1–47</t>
        </is>
      </c>
      <c r="C5" s="5" t="inlineStr">
        <is>
          <t>#ED1C24</t>
        </is>
      </c>
      <c r="D5" s="5" t="inlineStr">
        <is>
          <t>0.10</t>
        </is>
      </c>
      <c r="E5" s="5" t="inlineStr">
        <is>
          <t>Middle</t>
        </is>
      </c>
    </row>
    <row r="6">
      <c r="A6" s="5" t="inlineStr">
        <is>
          <t>CUT (inner)</t>
        </is>
      </c>
      <c r="B6" s="5" t="inlineStr">
        <is>
          <t>Seg 48–55</t>
        </is>
      </c>
      <c r="C6" s="5" t="inlineStr">
        <is>
          <t>#ED1C24</t>
        </is>
      </c>
      <c r="D6" s="5" t="inlineStr">
        <is>
          <t>0.10 (≥ OUTER)</t>
        </is>
      </c>
      <c r="E6" s="5" t="inlineStr">
        <is>
          <t>Top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36" customWidth="1" min="3" max="3"/>
  </cols>
  <sheetData>
    <row r="1">
      <c r="A1" s="1" t="inlineStr">
        <is>
          <t>Smart Auto Nesting Algorithm</t>
        </is>
      </c>
    </row>
    <row r="3">
      <c r="A3" s="4" t="inlineStr">
        <is>
          <t>Step</t>
        </is>
      </c>
      <c r="B3" s="4" t="inlineStr">
        <is>
          <t>What it does</t>
        </is>
      </c>
      <c r="C3" s="4" t="inlineStr">
        <is>
          <t>Notes</t>
        </is>
      </c>
    </row>
    <row r="4">
      <c r="A4" s="5" t="inlineStr">
        <is>
          <t>1. Build silhouette mask</t>
        </is>
      </c>
      <c r="B4" s="5" t="inlineStr">
        <is>
          <t>Raster of OUTER+CUT (not CREASE) at fixed resolution</t>
        </is>
      </c>
      <c r="C4" s="5" t="inlineStr">
        <is>
          <t>src/lib/d001/nesting.ts</t>
        </is>
      </c>
    </row>
    <row r="5">
      <c r="A5" s="5" t="inlineStr">
        <is>
          <t>2. Find tightest pitch</t>
        </is>
      </c>
      <c r="B5" s="5" t="inlineStr">
        <is>
          <t>Increment dx/dy until no collision (gap=0)</t>
        </is>
      </c>
      <c r="C5" s="5" t="inlineStr">
        <is>
          <t>0.5mm step refine</t>
        </is>
      </c>
    </row>
    <row r="6">
      <c r="A6" s="5" t="inlineStr">
        <is>
          <t>3. Brick offset (rowBrickDx)</t>
        </is>
      </c>
      <c r="B6" s="5" t="inlineStr">
        <is>
          <t>Alternate-row shift that lets tongues interlock</t>
        </is>
      </c>
      <c r="C6" s="5" t="inlineStr">
        <is>
          <t>Geometric only</t>
        </is>
      </c>
    </row>
    <row r="7">
      <c r="A7" s="5" t="inlineStr">
        <is>
          <t>4. Brick phase pick</t>
        </is>
      </c>
      <c r="B7" s="5" t="inlineStr">
        <is>
          <t>Try both phases and ±rowBrickDx; choose max count</t>
        </is>
      </c>
      <c r="C7" s="5" t="inlineStr">
        <is>
          <t>Symmetry guarantee</t>
        </is>
      </c>
    </row>
    <row r="8">
      <c r="A8" s="5" t="inlineStr">
        <is>
          <t>5. Collision validation</t>
        </is>
      </c>
      <c r="B8" s="5" t="inlineStr">
        <is>
          <t>Check H-neighbor, V-neighbor, brick row, brick L, brick R</t>
        </is>
      </c>
      <c r="C8" s="5" t="inlineStr">
        <is>
          <t>refineSafe</t>
        </is>
      </c>
    </row>
    <row r="9">
      <c r="A9" s="5" t="inlineStr">
        <is>
          <t>6. Apply Gaps</t>
        </is>
      </c>
      <c r="B9" s="5" t="inlineStr">
        <is>
          <t>pitchX += hGap, pitchY += vGap</t>
        </is>
      </c>
      <c r="C9" s="5" t="inlineStr">
        <is>
          <t>Gaps never change brick/interlock</t>
        </is>
      </c>
    </row>
    <row r="10">
      <c r="A10" s="5" t="inlineStr">
        <is>
          <t>7. Auto rotation</t>
        </is>
      </c>
      <c r="B10" s="5" t="inlineStr">
        <is>
          <t>Evaluate normal + rotated; pick higher total</t>
        </is>
      </c>
      <c r="C10" s="5" t="inlineStr">
        <is>
          <t>W↔H sheet swap → same result</t>
        </is>
      </c>
    </row>
    <row r="11">
      <c r="A11" s="5" t="inlineStr">
        <is>
          <t>8. Edge clamp</t>
        </is>
      </c>
      <c r="B11" s="5" t="inlineStr">
        <is>
          <t>Per-row column count honors brick offset</t>
        </is>
      </c>
      <c r="C11" s="5" t="inlineStr">
        <is>
          <t>Preview matches engine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22" customWidth="1" min="4" max="4"/>
  </cols>
  <sheetData>
    <row r="1">
      <c r="A1" s="1" t="inlineStr">
        <is>
          <t>Sheet Layout Scenarios</t>
        </is>
      </c>
    </row>
    <row r="3">
      <c r="A3" s="4" t="inlineStr">
        <is>
          <t>Scenario</t>
        </is>
      </c>
      <c r="B3" s="4" t="inlineStr">
        <is>
          <t>Orientation</t>
        </is>
      </c>
      <c r="C3" s="4" t="inlineStr">
        <is>
          <t>Rotation</t>
        </is>
      </c>
      <c r="D3" s="4" t="inlineStr">
        <is>
          <t>Source</t>
        </is>
      </c>
    </row>
    <row r="4">
      <c r="A4" s="5" t="inlineStr">
        <is>
          <t>S1 — Normal</t>
        </is>
      </c>
      <c r="B4" s="5" t="inlineStr">
        <is>
          <t>0°</t>
        </is>
      </c>
      <c r="C4" s="5" t="inlineStr">
        <is>
          <t>No</t>
        </is>
      </c>
      <c r="D4" s="5" t="inlineStr">
        <is>
          <t>BBox W×H</t>
        </is>
      </c>
    </row>
    <row r="5">
      <c r="A5" s="5" t="inlineStr">
        <is>
          <t>S2 — Rotated</t>
        </is>
      </c>
      <c r="B5" s="5" t="inlineStr">
        <is>
          <t>90°</t>
        </is>
      </c>
      <c r="C5" s="5" t="inlineStr">
        <is>
          <t>Yes</t>
        </is>
      </c>
      <c r="D5" s="5" t="inlineStr">
        <is>
          <t>BBox H×W</t>
        </is>
      </c>
    </row>
    <row r="6">
      <c r="A6" s="5" t="inlineStr">
        <is>
          <t>S3 — Brick Normal</t>
        </is>
      </c>
      <c r="B6" s="5" t="inlineStr">
        <is>
          <t>0° + rowBrickDx</t>
        </is>
      </c>
      <c r="C6" s="5" t="inlineStr">
        <is>
          <t>Auto</t>
        </is>
      </c>
      <c r="D6" s="5" t="inlineStr">
        <is>
          <t>Smart Auto</t>
        </is>
      </c>
    </row>
    <row r="7">
      <c r="A7" s="5" t="inlineStr">
        <is>
          <t>S4 — Brick Rotated</t>
        </is>
      </c>
      <c r="B7" s="5" t="inlineStr">
        <is>
          <t>90° + rowBrickDx</t>
        </is>
      </c>
      <c r="C7" s="5" t="inlineStr">
        <is>
          <t>Auto</t>
        </is>
      </c>
      <c r="D7" s="5" t="inlineStr">
        <is>
          <t>Smart Auto</t>
        </is>
      </c>
    </row>
    <row r="8">
      <c r="A8" s="5" t="inlineStr">
        <is>
          <t>Best</t>
        </is>
      </c>
      <c r="B8" s="5" t="inlineStr">
        <is>
          <t>Highest total</t>
        </is>
      </c>
      <c r="C8" s="5" t="inlineStr">
        <is>
          <t>—</t>
        </is>
      </c>
      <c r="D8" s="5" t="inlineStr">
        <is>
          <t>Engine pick</t>
        </is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Orientation Picker</t>
        </is>
      </c>
    </row>
    <row r="3">
      <c r="A3" s="4" t="inlineStr">
        <is>
          <t>Field</t>
        </is>
      </c>
      <c r="B3" s="4" t="inlineStr">
        <is>
          <t>Value / Rule</t>
        </is>
      </c>
    </row>
    <row r="4">
      <c r="A4" s="5" t="inlineStr">
        <is>
          <t>allowRotation default</t>
        </is>
      </c>
      <c r="B4" s="5" t="inlineStr">
        <is>
          <t>true</t>
        </is>
      </c>
    </row>
    <row r="5">
      <c r="A5" s="5" t="inlineStr">
        <is>
          <t>autoRotation default</t>
        </is>
      </c>
      <c r="B5" s="5" t="inlineStr">
        <is>
          <t>true</t>
        </is>
      </c>
    </row>
    <row r="6">
      <c r="A6" s="5" t="inlineStr">
        <is>
          <t>Tie-break</t>
        </is>
      </c>
      <c r="B6" s="5" t="inlineStr">
        <is>
          <t>Higher total → fewer pitchX → fewer pitchY</t>
        </is>
      </c>
    </row>
    <row r="7">
      <c r="A7" s="5" t="inlineStr">
        <is>
          <t>W↔H Symmetry</t>
        </is>
      </c>
      <c r="B7" s="5" t="inlineStr">
        <is>
          <t>Swapping sheet W and H must yield equal best total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1" t="inlineStr">
        <is>
          <t>Axis Independence Proof</t>
        </is>
      </c>
    </row>
    <row r="3">
      <c r="A3" s="4" t="inlineStr">
        <is>
          <t>Axis</t>
        </is>
      </c>
      <c r="B3" s="4" t="inlineStr">
        <is>
          <t>Driven by</t>
        </is>
      </c>
      <c r="C3" s="4" t="inlineStr">
        <is>
          <t>Independent of</t>
        </is>
      </c>
    </row>
    <row r="4">
      <c r="A4" s="5" t="inlineStr">
        <is>
          <t>Layout X</t>
        </is>
      </c>
      <c r="B4" s="5" t="inlineStr">
        <is>
          <t>W, D, G</t>
        </is>
      </c>
      <c r="C4" s="5" t="inlineStr">
        <is>
          <t>H, lidTongue (no horizontal effect)</t>
        </is>
      </c>
    </row>
    <row r="5">
      <c r="A5" s="5" t="inlineStr">
        <is>
          <t>Layout Y</t>
        </is>
      </c>
      <c r="B5" s="5" t="inlineStr">
        <is>
          <t>H, lidTongue, depthTongueTotalHeight</t>
        </is>
      </c>
      <c r="C5" s="5" t="inlineStr">
        <is>
          <t>W, D for face widths</t>
        </is>
      </c>
    </row>
    <row r="6">
      <c r="A6" s="5" t="inlineStr">
        <is>
          <t>Lid Béziers (Y)</t>
        </is>
      </c>
      <c r="B6" s="5" t="inlineStr">
        <is>
          <t>lidTongue</t>
        </is>
      </c>
      <c r="C6" s="5" t="inlineStr">
        <is>
          <t>depthTongue, depthTongueTotalHeight</t>
        </is>
      </c>
    </row>
    <row r="7">
      <c r="A7" s="5" t="inlineStr">
        <is>
          <t>Depth Tongue (Y)</t>
        </is>
      </c>
      <c r="B7" s="5" t="inlineStr">
        <is>
          <t>depthTongue, depthTongueTotalHeight</t>
        </is>
      </c>
      <c r="C7" s="5" t="inlineStr">
        <is>
          <t>lidTongue</t>
        </is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Export Contract</t>
        </is>
      </c>
    </row>
    <row r="3">
      <c r="A3" s="4" t="inlineStr">
        <is>
          <t>Rule</t>
        </is>
      </c>
      <c r="B3" s="4" t="inlineStr">
        <is>
          <t>Value</t>
        </is>
      </c>
    </row>
    <row r="4">
      <c r="A4" s="5" t="inlineStr">
        <is>
          <t>Filename — Single</t>
        </is>
      </c>
      <c r="B4" s="5" t="inlineStr">
        <is>
          <t>D001-single-W{W}-H{H}-D{D}.svg / .pdf</t>
        </is>
      </c>
    </row>
    <row r="5">
      <c r="A5" s="5" t="inlineStr">
        <is>
          <t>Filename — Sheet</t>
        </is>
      </c>
      <c r="B5" s="5" t="inlineStr">
        <is>
          <t>D001-sheet-layout-W{sheetW}-H{sheetH}-QTY{Total}.svg</t>
        </is>
      </c>
    </row>
    <row r="6">
      <c r="A6" s="5" t="inlineStr">
        <is>
          <t>Units</t>
        </is>
      </c>
      <c r="B6" s="5" t="inlineStr">
        <is>
          <t>mm</t>
        </is>
      </c>
    </row>
    <row r="7">
      <c r="A7" s="5" t="inlineStr">
        <is>
          <t>ViewBox</t>
        </is>
      </c>
      <c r="B7" s="5" t="inlineStr">
        <is>
          <t>0 0 sheetWidth sheetHeight</t>
        </is>
      </c>
    </row>
    <row r="8">
      <c r="A8" s="5" t="inlineStr">
        <is>
          <t>Layers</t>
        </is>
      </c>
      <c r="B8" s="5" t="inlineStr">
        <is>
          <t>CREASE (#00A651) + CUT (#ED1C24, OUTER+inner)</t>
        </is>
      </c>
    </row>
    <row r="9">
      <c r="A9" s="5" t="inlineStr">
        <is>
          <t>Allowed elements</t>
        </is>
      </c>
      <c r="B9" s="5" t="inlineStr">
        <is>
          <t>&lt;svg&gt; &lt;g&gt; &lt;path&gt; &lt;line&gt;</t>
        </is>
      </c>
    </row>
    <row r="10">
      <c r="A10" s="5" t="inlineStr">
        <is>
          <t>Forbidden</t>
        </is>
      </c>
      <c r="B10" s="5" t="inlineStr">
        <is>
          <t>&lt;use&gt; &lt;clipPath&gt; &lt;symbol&gt; &lt;foreignObject&gt; &lt;image&gt;</t>
        </is>
      </c>
    </row>
    <row r="11">
      <c r="A11" s="5" t="inlineStr">
        <is>
          <t>Namespaces</t>
        </is>
      </c>
      <c r="B11" s="5" t="inlineStr">
        <is>
          <t>xmlns, xmlns:inkscape</t>
        </is>
      </c>
    </row>
    <row r="12">
      <c r="A12" s="5" t="inlineStr">
        <is>
          <t>Must open in</t>
        </is>
      </c>
      <c r="B12" s="5" t="inlineStr">
        <is>
          <t>Adobe Illustrator (directly), Inkscape, Chrome</t>
        </is>
      </c>
    </row>
    <row r="13">
      <c r="A13" s="5" t="inlineStr">
        <is>
          <t>Preview parity</t>
        </is>
      </c>
      <c r="B13" s="5" t="inlineStr">
        <is>
          <t>Sheet export = sheet preview, pixel-for-pixel</t>
        </is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</cols>
  <sheetData>
    <row r="1">
      <c r="A1" s="1" t="inlineStr">
        <is>
          <t>Calibration Notes &amp; Post-Mortem</t>
        </is>
      </c>
    </row>
    <row r="3">
      <c r="A3" s="4" t="inlineStr">
        <is>
          <t>#</t>
        </is>
      </c>
      <c r="B3" s="4" t="inlineStr">
        <is>
          <t>Lesson Learned</t>
        </is>
      </c>
      <c r="C3" s="4" t="inlineStr">
        <is>
          <t>Why</t>
        </is>
      </c>
    </row>
    <row r="4">
      <c r="A4" s="5" t="n">
        <v>1</v>
      </c>
      <c r="B4" s="5" t="inlineStr">
        <is>
          <t>Reference Clone first</t>
        </is>
      </c>
      <c r="C4" s="5" t="inlineStr">
        <is>
          <t>Establishes 1:1 baseline before any parametric work</t>
        </is>
      </c>
    </row>
    <row r="5">
      <c r="A5" s="5" t="n">
        <v>2</v>
      </c>
      <c r="B5" s="5" t="inlineStr">
        <is>
          <t>No global scale on shapes</t>
        </is>
      </c>
      <c r="C5" s="5" t="inlineStr">
        <is>
          <t>Breaks Bézier curves and stroke widths</t>
        </is>
      </c>
    </row>
    <row r="6">
      <c r="A6" s="5" t="n">
        <v>3</v>
      </c>
      <c r="B6" s="5" t="inlineStr">
        <is>
          <t>Anchor + Delta only</t>
        </is>
      </c>
      <c r="C6" s="5" t="inlineStr">
        <is>
          <t>Preserves geometry intent across parameter changes</t>
        </is>
      </c>
    </row>
    <row r="7">
      <c r="A7" s="5" t="n">
        <v>4</v>
      </c>
      <c r="B7" s="5" t="inlineStr">
        <is>
          <t>Bezier Preservation</t>
        </is>
      </c>
      <c r="C7" s="5" t="inlineStr">
        <is>
          <t>Scale control points, never linearize</t>
        </is>
      </c>
    </row>
    <row r="8">
      <c r="A8" s="5" t="n">
        <v>5</v>
      </c>
      <c r="B8" s="5" t="inlineStr">
        <is>
          <t>Decouple parameters</t>
        </is>
      </c>
      <c r="C8" s="5" t="inlineStr">
        <is>
          <t>Lid affects lid; Depth Tongue affects depth tongue; never crosswire</t>
        </is>
      </c>
    </row>
    <row r="9">
      <c r="A9" s="5" t="n">
        <v>6</v>
      </c>
      <c r="B9" s="5" t="inlineStr">
        <is>
          <t>Live Default + Manual Override</t>
        </is>
      </c>
      <c r="C9" s="5" t="inlineStr">
        <is>
          <t>Default tracks rules (e.g. W&lt;=25→Lock=3); user typing locks override</t>
        </is>
      </c>
    </row>
    <row r="10">
      <c r="A10" s="5" t="n">
        <v>7</v>
      </c>
      <c r="B10" s="5" t="inlineStr">
        <is>
          <t>Layer order CREASE→OUTER→CUT</t>
        </is>
      </c>
      <c r="C10" s="5" t="inlineStr">
        <is>
          <t>Without this, internal cuts disappear visually</t>
        </is>
      </c>
    </row>
    <row r="11">
      <c r="A11" s="5" t="n">
        <v>8</v>
      </c>
      <c r="B11" s="5" t="inlineStr">
        <is>
          <t>Preview = Export</t>
        </is>
      </c>
      <c r="C11" s="5" t="inlineStr">
        <is>
          <t>Same path/placement loop drives both</t>
        </is>
      </c>
    </row>
    <row r="12">
      <c r="A12" s="5" t="n">
        <v>9</v>
      </c>
      <c r="B12" s="5" t="inlineStr">
        <is>
          <t>Gaps are pure safety</t>
        </is>
      </c>
      <c r="C12" s="5" t="inlineStr">
        <is>
          <t>Never let gap affect brick/interlock geometry</t>
        </is>
      </c>
    </row>
    <row r="13">
      <c r="A13" s="5" t="n">
        <v>10</v>
      </c>
      <c r="B13" s="5" t="inlineStr">
        <is>
          <t>W↔H symmetry test</t>
        </is>
      </c>
      <c r="C13" s="5" t="inlineStr">
        <is>
          <t>Catches asymmetric brickPhase / edge clamp bugs</t>
        </is>
      </c>
    </row>
    <row r="14">
      <c r="A14" s="5" t="n">
        <v>11</v>
      </c>
      <c r="B14" s="5" t="inlineStr">
        <is>
          <t>Collision validation via raster mask</t>
        </is>
      </c>
      <c r="C14" s="5" t="inlineStr">
        <is>
          <t>BBox math under-approximates; raster is truth</t>
        </is>
      </c>
    </row>
    <row r="15">
      <c r="A15" s="5" t="n">
        <v>12</v>
      </c>
      <c r="B15" s="5" t="inlineStr">
        <is>
          <t>Excel blueprint is documentation only</t>
        </is>
      </c>
      <c r="C15" s="5" t="inlineStr">
        <is>
          <t>App never reads it; code is the runtime truth</t>
        </is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10" customWidth="1" min="8" max="8"/>
    <col width="50" customWidth="1" min="9" max="9"/>
  </cols>
  <sheetData>
    <row r="1">
      <c r="A1" s="1" t="inlineStr">
        <is>
          <t>Validation Test Cases (Oracle)</t>
        </is>
      </c>
    </row>
    <row r="3">
      <c r="A3" s="4" t="inlineStr">
        <is>
          <t>Case</t>
        </is>
      </c>
      <c r="B3" s="4" t="inlineStr">
        <is>
          <t>W</t>
        </is>
      </c>
      <c r="C3" s="4" t="inlineStr">
        <is>
          <t>H</t>
        </is>
      </c>
      <c r="D3" s="4" t="inlineStr">
        <is>
          <t>D</t>
        </is>
      </c>
      <c r="E3" s="4" t="inlineStr">
        <is>
          <t>G</t>
        </is>
      </c>
      <c r="F3" s="4" t="inlineStr">
        <is>
          <t>lidTongue</t>
        </is>
      </c>
      <c r="G3" s="4" t="inlineStr">
        <is>
          <t>Lock</t>
        </is>
      </c>
      <c r="H3" s="4" t="inlineStr">
        <is>
          <t>DTH</t>
        </is>
      </c>
      <c r="I3" s="4" t="inlineStr">
        <is>
          <t>Expected</t>
        </is>
      </c>
    </row>
    <row r="4">
      <c r="A4" s="5" t="inlineStr">
        <is>
          <t>Reference Clone</t>
        </is>
      </c>
      <c r="B4" s="5" t="n">
        <v>50</v>
      </c>
      <c r="C4" s="5" t="n">
        <v>130</v>
      </c>
      <c r="D4" s="5" t="n">
        <v>40</v>
      </c>
      <c r="E4" s="5" t="n">
        <v>12</v>
      </c>
      <c r="F4" s="5" t="n">
        <v>14.25</v>
      </c>
      <c r="G4" s="5" t="n">
        <v>5</v>
      </c>
      <c r="H4" s="5" t="n">
        <v>27</v>
      </c>
      <c r="I4" s="5" t="inlineStr">
        <is>
          <t>Matches TEMPLATE.svg byte-for-byte (referenceMode=true)</t>
        </is>
      </c>
    </row>
    <row r="5">
      <c r="A5" s="5" t="inlineStr">
        <is>
          <t>Small box (W&lt;=25)</t>
        </is>
      </c>
      <c r="B5" s="5" t="n">
        <v>20</v>
      </c>
      <c r="C5" s="5" t="n">
        <v>60</v>
      </c>
      <c r="D5" s="5" t="n">
        <v>15</v>
      </c>
      <c r="E5" s="5" t="n">
        <v>8</v>
      </c>
      <c r="F5" s="5" t="n">
        <v>8</v>
      </c>
      <c r="G5" s="5" t="n">
        <v>3</v>
      </c>
      <c r="H5" s="5" t="n">
        <v>12.5</v>
      </c>
      <c r="I5" s="5" t="inlineStr">
        <is>
          <t>Lock live default = 3; tongues scaled</t>
        </is>
      </c>
    </row>
    <row r="6">
      <c r="A6" s="5" t="inlineStr">
        <is>
          <t>Large box</t>
        </is>
      </c>
      <c r="B6" s="5" t="n">
        <v>120</v>
      </c>
      <c r="C6" s="5" t="n">
        <v>200</v>
      </c>
      <c r="D6" s="5" t="n">
        <v>60</v>
      </c>
      <c r="E6" s="5" t="n">
        <v>15</v>
      </c>
      <c r="F6" s="5" t="n">
        <v>18</v>
      </c>
      <c r="G6" s="5" t="n">
        <v>6</v>
      </c>
      <c r="H6" s="5" t="n">
        <v>38</v>
      </c>
      <c r="I6" s="5" t="inlineStr">
        <is>
          <t>Lock live default = 5; faces wide, tongues tall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2026-06-26T13:29:16Z</dcterms:created>
  <dcterms:modified xmlns:dcterms="http://purl.org/dc/terms/" xmlns:xsi="http://www.w3.org/2001/XMLSchema-instance" xsi:type="dcterms:W3CDTF">2026-06-26T13:29:16Z</dcterms:modified>
</cp:coreProperties>
</file>