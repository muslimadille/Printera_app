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erivedDimensions" sheetId="2" state="visible" r:id="rId2"/>
    <sheet xmlns:r="http://schemas.openxmlformats.org/officeDocument/2006/relationships" name="Boundaries" sheetId="3" state="visible" r:id="rId3"/>
    <sheet xmlns:r="http://schemas.openxmlformats.org/officeDocument/2006/relationships" name="Footprint" sheetId="4" state="visible" r:id="rId4"/>
    <sheet xmlns:r="http://schemas.openxmlformats.org/officeDocument/2006/relationships" name="Pitch" sheetId="5" state="visible" r:id="rId5"/>
    <sheet xmlns:r="http://schemas.openxmlformats.org/officeDocument/2006/relationships" name="SheetLayout" sheetId="6" state="visible" r:id="rId6"/>
    <sheet xmlns:r="http://schemas.openxmlformats.org/officeDocument/2006/relationships" name="Orientation" sheetId="7" state="visible" r:id="rId7"/>
    <sheet xmlns:r="http://schemas.openxmlformats.org/officeDocument/2006/relationships" name="AxisIndependence" sheetId="8" state="visible" r:id="rId8"/>
    <sheet xmlns:r="http://schemas.openxmlformats.org/officeDocument/2006/relationships" name="TestC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TOP</author>
  </authors>
  <commentList>
    <comment ref="A1" authorId="0" shapeId="0">
      <text>
        <t>User-entered inputs for each TestCase (L, D, H, sheet, gap, rotation).</t>
      </text>
    </comment>
  </commentList>
</comments>
</file>

<file path=xl/comments/comment2.xml><?xml version="1.0" encoding="utf-8"?>
<comments xmlns="http://schemas.openxmlformats.org/spreadsheetml/2006/main">
  <authors>
    <author>TOP</author>
  </authors>
  <commentList>
    <comment ref="A1" authorId="0" shapeId="0">
      <text>
        <t>Engine-computed derived values (covers, flaps, voids).</t>
      </text>
    </comment>
  </commentList>
</comments>
</file>

<file path=xl/comments/comment3.xml><?xml version="1.0" encoding="utf-8"?>
<comments xmlns="http://schemas.openxmlformats.org/spreadsheetml/2006/main">
  <authors>
    <author>TOP</author>
  </authors>
  <commentList>
    <comment ref="A1" authorId="0" shapeId="0">
      <text>
        <t>X/Y boundary lines per axis derived from inputs.</t>
      </text>
    </comment>
  </commentList>
</comments>
</file>

<file path=xl/comments/comment4.xml><?xml version="1.0" encoding="utf-8"?>
<comments xmlns="http://schemas.openxmlformats.org/spreadsheetml/2006/main">
  <authors>
    <author>TOP</author>
  </authors>
  <commentList>
    <comment ref="A1" authorId="0" shapeId="0">
      <text>
        <t>Final unfolded piece W x H.</t>
      </text>
    </comment>
  </commentList>
</comments>
</file>

<file path=xl/comments/comment5.xml><?xml version="1.0" encoding="utf-8"?>
<comments xmlns="http://schemas.openxmlformats.org/spreadsheetml/2006/main">
  <authors>
    <author>TOP</author>
  </authors>
  <commentList>
    <comment ref="A1" authorId="0" shapeId="0">
      <text>
        <t>Footprint + gap repeat distances inside the sheet.</t>
      </text>
    </comment>
  </commentList>
</comments>
</file>

<file path=xl/comments/comment6.xml><?xml version="1.0" encoding="utf-8"?>
<comments xmlns="http://schemas.openxmlformats.org/spreadsheetml/2006/main">
  <authors>
    <author>TOP</author>
  </authors>
  <commentList>
    <comment ref="A1" authorId="0" shapeId="0">
      <text>
        <t>Best Sheet Distribution. Documents S1-S6 scenarios; Best = argmax over S1-S4 of (Pieces -&gt; Util% -&gt; -Waste%). S5/S6 are Future Engine.</t>
      </text>
    </comment>
  </commentList>
</comments>
</file>

<file path=xl/comments/comment7.xml><?xml version="1.0" encoding="utf-8"?>
<comments xmlns="http://schemas.openxmlformats.org/spreadsheetml/2006/main">
  <authors>
    <author>TOP</author>
  </authors>
  <commentList>
    <comment ref="A1" authorId="0" shapeId="0">
      <text>
        <t>Summary of best rotation/sheet orientation pick across supported scenarios.</t>
      </text>
    </comment>
  </commentList>
</comments>
</file>

<file path=xl/comments/comment8.xml><?xml version="1.0" encoding="utf-8"?>
<comments xmlns="http://schemas.openxmlformats.org/spreadsheetml/2006/main">
  <authors>
    <author>TOP</author>
  </authors>
  <commentList>
    <comment ref="A1" authorId="0" shapeId="0">
      <text>
        <t>Rules proving each input dimension only affects its intended axis.</t>
      </text>
    </comment>
  </commentList>
</comments>
</file>

<file path=xl/comments/comment9.xml><?xml version="1.0" encoding="utf-8"?>
<comments xmlns="http://schemas.openxmlformats.org/spreadsheetml/2006/main">
  <authors>
    <author>TOP</author>
  </authors>
  <commentList>
    <comment ref="A1" authorId="0" shapeId="0">
      <text>
        <t>Locked regression rows aggregating Footprint + Best scenario per test size.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Length</t>
        </is>
      </c>
      <c r="D1" s="1" t="inlineStr">
        <is>
          <t>Depth</t>
        </is>
      </c>
      <c r="E1" s="1" t="inlineStr">
        <is>
          <t>Height</t>
        </is>
      </c>
      <c r="F1" s="1" t="inlineStr">
        <is>
          <t>Width</t>
        </is>
      </c>
      <c r="G1" s="1" t="inlineStr">
        <is>
          <t>GlueFlap</t>
        </is>
      </c>
      <c r="H1" s="1" t="inlineStr">
        <is>
          <t>SheetWidth</t>
        </is>
      </c>
      <c r="I1" s="1" t="inlineStr">
        <is>
          <t>SheetHeight</t>
        </is>
      </c>
      <c r="J1" s="1" t="inlineStr">
        <is>
          <t>Gap</t>
        </is>
      </c>
      <c r="K1" s="1" t="inlineStr">
        <is>
          <t>RotationAllowed</t>
        </is>
      </c>
      <c r="L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n">
        <v>300</v>
      </c>
      <c r="D2" s="2" t="n">
        <v>150</v>
      </c>
      <c r="E2" s="2" t="n">
        <v>180</v>
      </c>
      <c r="F2" s="2" t="inlineStr"/>
      <c r="G2" s="2" t="n">
        <v>30</v>
      </c>
      <c r="H2" s="2" t="n">
        <v>1000</v>
      </c>
      <c r="I2" s="2" t="n">
        <v>700</v>
      </c>
      <c r="J2" s="2" t="n">
        <v>5</v>
      </c>
      <c r="K2" s="2" t="inlineStr">
        <is>
          <t>Yes</t>
        </is>
      </c>
      <c r="L2" s="2" t="inlineStr">
        <is>
          <t>Confirmed</t>
        </is>
      </c>
    </row>
    <row r="3">
      <c r="A3" s="2" t="inlineStr">
        <is>
          <t>CarryingHandleBox</t>
        </is>
      </c>
      <c r="B3" s="2" t="inlineStr">
        <is>
          <t>TC2</t>
        </is>
      </c>
      <c r="C3" s="2" t="n">
        <v>320</v>
      </c>
      <c r="D3" s="2" t="n">
        <v>160</v>
      </c>
      <c r="E3" s="2" t="n">
        <v>170</v>
      </c>
      <c r="F3" s="2" t="inlineStr"/>
      <c r="G3" s="2" t="n">
        <v>30</v>
      </c>
      <c r="H3" s="2" t="n">
        <v>1000</v>
      </c>
      <c r="I3" s="2" t="n">
        <v>700</v>
      </c>
      <c r="J3" s="2" t="n">
        <v>5</v>
      </c>
      <c r="K3" s="2" t="inlineStr">
        <is>
          <t>Yes</t>
        </is>
      </c>
      <c r="L3" s="2" t="inlineStr">
        <is>
          <t>Confirmed</t>
        </is>
      </c>
    </row>
    <row r="4">
      <c r="A4" s="2" t="inlineStr">
        <is>
          <t>CarryingHandleBox</t>
        </is>
      </c>
      <c r="B4" s="2" t="inlineStr">
        <is>
          <t>TC3</t>
        </is>
      </c>
      <c r="C4" s="2" t="n">
        <v>280</v>
      </c>
      <c r="D4" s="2" t="n">
        <v>155</v>
      </c>
      <c r="E4" s="2" t="n">
        <v>170</v>
      </c>
      <c r="F4" s="2" t="inlineStr"/>
      <c r="G4" s="2" t="n">
        <v>30</v>
      </c>
      <c r="H4" s="2" t="n">
        <v>1000</v>
      </c>
      <c r="I4" s="2" t="n">
        <v>700</v>
      </c>
      <c r="J4" s="2" t="n">
        <v>5</v>
      </c>
      <c r="K4" s="2" t="inlineStr">
        <is>
          <t>Yes</t>
        </is>
      </c>
      <c r="L4" s="2" t="inlineStr">
        <is>
          <t>Confirmed</t>
        </is>
      </c>
    </row>
    <row r="5">
      <c r="A5" s="2" t="inlineStr">
        <is>
          <t>CarryingHandleBox</t>
        </is>
      </c>
      <c r="B5" s="2" t="inlineStr">
        <is>
          <t>TC4</t>
        </is>
      </c>
      <c r="C5" s="2" t="n">
        <v>330</v>
      </c>
      <c r="D5" s="2" t="n">
        <v>140</v>
      </c>
      <c r="E5" s="2" t="n">
        <v>160</v>
      </c>
      <c r="F5" s="2" t="inlineStr"/>
      <c r="G5" s="2" t="n">
        <v>30</v>
      </c>
      <c r="H5" s="2" t="n">
        <v>1000</v>
      </c>
      <c r="I5" s="2" t="n">
        <v>700</v>
      </c>
      <c r="J5" s="2" t="n">
        <v>5</v>
      </c>
      <c r="K5" s="2" t="inlineStr">
        <is>
          <t>Yes</t>
        </is>
      </c>
      <c r="L5" s="2" t="inlineStr">
        <is>
          <t>Confirmed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DerivedName</t>
        </is>
      </c>
      <c r="D1" s="1" t="inlineStr">
        <is>
          <t>Formula</t>
        </is>
      </c>
      <c r="E1" s="1" t="inlineStr">
        <is>
          <t>ExpectedValue</t>
        </is>
      </c>
      <c r="F1" s="1" t="inlineStr">
        <is>
          <t>Unit</t>
        </is>
      </c>
      <c r="G1" s="1" t="inlineStr">
        <is>
          <t>Tolerance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inlineStr">
        <is>
          <t>upperDepthFlap</t>
        </is>
      </c>
      <c r="D2" s="2" t="inlineStr">
        <is>
          <t>D/2 &gt; 80 ? 85.3 : (D/2) * 1.1</t>
        </is>
      </c>
      <c r="E2" s="2" t="n">
        <v>82.5</v>
      </c>
      <c r="F2" s="2" t="inlineStr">
        <is>
          <t>mm</t>
        </is>
      </c>
      <c r="G2" s="2" t="n">
        <v>0.01</v>
      </c>
      <c r="H2" s="2" t="inlineStr">
        <is>
          <t>Confirmed</t>
        </is>
      </c>
      <c r="I2" s="2" t="inlineStr">
        <is>
          <t>Engine: carryingHandleBoxEngine.ts</t>
        </is>
      </c>
    </row>
    <row r="3">
      <c r="A3" s="2" t="inlineStr">
        <is>
          <t>CarryingHandleBox</t>
        </is>
      </c>
      <c r="B3" s="2" t="inlineStr">
        <is>
          <t>TC2</t>
        </is>
      </c>
      <c r="C3" s="2" t="inlineStr">
        <is>
          <t>upperDepthFlap</t>
        </is>
      </c>
      <c r="D3" s="2" t="inlineStr">
        <is>
          <t>D/2 &gt; 80 ? 85.3 : (D/2) * 1.1</t>
        </is>
      </c>
      <c r="E3" s="2" t="n">
        <v>88</v>
      </c>
      <c r="F3" s="2" t="inlineStr">
        <is>
          <t>mm</t>
        </is>
      </c>
      <c r="G3" s="2" t="n">
        <v>0.01</v>
      </c>
      <c r="H3" s="2" t="inlineStr">
        <is>
          <t>Confirmed</t>
        </is>
      </c>
      <c r="I3" s="2" t="inlineStr">
        <is>
          <t>Engine: carryingHandleBoxEngine.ts</t>
        </is>
      </c>
    </row>
    <row r="4">
      <c r="A4" s="2" t="inlineStr">
        <is>
          <t>CarryingHandleBox</t>
        </is>
      </c>
      <c r="B4" s="2" t="inlineStr">
        <is>
          <t>TC3</t>
        </is>
      </c>
      <c r="C4" s="2" t="inlineStr">
        <is>
          <t>upperDepthFlap</t>
        </is>
      </c>
      <c r="D4" s="2" t="inlineStr">
        <is>
          <t>D/2 &gt; 80 ? 85.3 : (D/2) * 1.1</t>
        </is>
      </c>
      <c r="E4" s="2" t="n">
        <v>85.25</v>
      </c>
      <c r="F4" s="2" t="inlineStr">
        <is>
          <t>mm</t>
        </is>
      </c>
      <c r="G4" s="2" t="n">
        <v>0.01</v>
      </c>
      <c r="H4" s="2" t="inlineStr">
        <is>
          <t>Confirmed</t>
        </is>
      </c>
      <c r="I4" s="2" t="inlineStr">
        <is>
          <t>Engine: carryingHandleBoxEngine.ts</t>
        </is>
      </c>
    </row>
    <row r="5">
      <c r="A5" s="2" t="inlineStr">
        <is>
          <t>CarryingHandleBox</t>
        </is>
      </c>
      <c r="B5" s="2" t="inlineStr">
        <is>
          <t>TC4</t>
        </is>
      </c>
      <c r="C5" s="2" t="inlineStr">
        <is>
          <t>upperDepthFlap</t>
        </is>
      </c>
      <c r="D5" s="2" t="inlineStr">
        <is>
          <t>D/2 &gt; 80 ? 85.3 : (D/2) * 1.1</t>
        </is>
      </c>
      <c r="E5" s="2" t="n">
        <v>77</v>
      </c>
      <c r="F5" s="2" t="inlineStr">
        <is>
          <t>mm</t>
        </is>
      </c>
      <c r="G5" s="2" t="n">
        <v>0.01</v>
      </c>
      <c r="H5" s="2" t="inlineStr">
        <is>
          <t>Confirmed</t>
        </is>
      </c>
      <c r="I5" s="2" t="inlineStr">
        <is>
          <t>Engine: carryingHandleBoxEngine.ts</t>
        </is>
      </c>
    </row>
    <row r="6">
      <c r="A6" s="2" t="inlineStr">
        <is>
          <t>CarryingHandleBox</t>
        </is>
      </c>
      <c r="B6" s="2" t="inlineStr">
        <is>
          <t>TC1</t>
        </is>
      </c>
      <c r="C6" s="2" t="inlineStr">
        <is>
          <t>coverTotal</t>
        </is>
      </c>
      <c r="D6" s="2" t="inlineStr">
        <is>
          <t>engine-defined</t>
        </is>
      </c>
      <c r="E6" s="2" t="n">
        <v>150</v>
      </c>
      <c r="F6" s="2" t="inlineStr">
        <is>
          <t>mm</t>
        </is>
      </c>
      <c r="G6" s="2" t="n">
        <v>0.01</v>
      </c>
      <c r="H6" s="2" t="inlineStr">
        <is>
          <t>Confirmed</t>
        </is>
      </c>
      <c r="I6" s="2">
        <f> Y1 at TC1</f>
        <v/>
      </c>
    </row>
    <row r="7">
      <c r="A7" s="2" t="inlineStr">
        <is>
          <t>CarryingHandleBox</t>
        </is>
      </c>
      <c r="B7" s="2" t="inlineStr">
        <is>
          <t>TC1</t>
        </is>
      </c>
      <c r="C7" s="2" t="inlineStr">
        <is>
          <t>bottomFlapMax</t>
        </is>
      </c>
      <c r="D7" s="2" t="inlineStr">
        <is>
          <t>engine-defined</t>
        </is>
      </c>
      <c r="E7" s="2" t="n">
        <v>105</v>
      </c>
      <c r="F7" s="2" t="inlineStr">
        <is>
          <t>mm</t>
        </is>
      </c>
      <c r="G7" s="2" t="n">
        <v>0.01</v>
      </c>
      <c r="H7" s="2" t="inlineStr">
        <is>
          <t>Confirmed</t>
        </is>
      </c>
      <c r="I7" s="2">
        <f> Y3 - Y2 at TC1 (435-330)</f>
        <v/>
      </c>
    </row>
    <row r="8">
      <c r="A8" s="2" t="inlineStr">
        <is>
          <t>CarryingHandleBox</t>
        </is>
      </c>
      <c r="B8" s="2" t="inlineStr">
        <is>
          <t>TC2</t>
        </is>
      </c>
      <c r="C8" s="2" t="inlineStr">
        <is>
          <t>coverTotal</t>
        </is>
      </c>
      <c r="D8" s="2" t="inlineStr">
        <is>
          <t>engine-defined</t>
        </is>
      </c>
      <c r="E8" s="2" t="n">
        <v>160</v>
      </c>
      <c r="F8" s="2" t="inlineStr">
        <is>
          <t>mm</t>
        </is>
      </c>
      <c r="G8" s="2" t="n">
        <v>0.01</v>
      </c>
      <c r="H8" s="2" t="inlineStr">
        <is>
          <t>Confirmed</t>
        </is>
      </c>
      <c r="I8" s="2">
        <f> Y1 at TC2</f>
        <v/>
      </c>
    </row>
    <row r="9">
      <c r="A9" s="2" t="inlineStr">
        <is>
          <t>CarryingHandleBox</t>
        </is>
      </c>
      <c r="B9" s="2" t="inlineStr">
        <is>
          <t>TC2</t>
        </is>
      </c>
      <c r="C9" s="2" t="inlineStr">
        <is>
          <t>bottomFlapMax</t>
        </is>
      </c>
      <c r="D9" s="2" t="inlineStr">
        <is>
          <t>engine-defined</t>
        </is>
      </c>
      <c r="E9" s="2" t="n">
        <v>112</v>
      </c>
      <c r="F9" s="2" t="inlineStr">
        <is>
          <t>mm</t>
        </is>
      </c>
      <c r="G9" s="2" t="n">
        <v>0.01</v>
      </c>
      <c r="H9" s="2" t="inlineStr">
        <is>
          <t>Confirmed</t>
        </is>
      </c>
      <c r="I9" s="2">
        <f> Y3 - Y2 at TC2 (442-330)</f>
        <v/>
      </c>
    </row>
    <row r="10">
      <c r="A10" s="2" t="inlineStr">
        <is>
          <t>CarryingHandleBox</t>
        </is>
      </c>
      <c r="B10" s="2" t="inlineStr">
        <is>
          <t>TC4</t>
        </is>
      </c>
      <c r="C10" s="2" t="inlineStr">
        <is>
          <t>coverTotal</t>
        </is>
      </c>
      <c r="D10" s="2" t="inlineStr">
        <is>
          <t>engine-defined</t>
        </is>
      </c>
      <c r="E10" s="2" t="n">
        <v>140</v>
      </c>
      <c r="F10" s="2" t="inlineStr">
        <is>
          <t>mm</t>
        </is>
      </c>
      <c r="G10" s="2" t="n">
        <v>0.01</v>
      </c>
      <c r="H10" s="2" t="inlineStr">
        <is>
          <t>Confirmed</t>
        </is>
      </c>
      <c r="I10" s="2">
        <f> Y1 at TC4</f>
        <v/>
      </c>
    </row>
    <row r="11">
      <c r="A11" s="2" t="inlineStr">
        <is>
          <t>CarryingHandleBox</t>
        </is>
      </c>
      <c r="B11" s="2" t="inlineStr">
        <is>
          <t>TC4</t>
        </is>
      </c>
      <c r="C11" s="2" t="inlineStr">
        <is>
          <t>bottomFlapMax</t>
        </is>
      </c>
      <c r="D11" s="2" t="inlineStr">
        <is>
          <t>engine-defined</t>
        </is>
      </c>
      <c r="E11" s="2" t="n">
        <v>100</v>
      </c>
      <c r="F11" s="2" t="inlineStr">
        <is>
          <t>mm</t>
        </is>
      </c>
      <c r="G11" s="2" t="n">
        <v>0.01</v>
      </c>
      <c r="H11" s="2" t="inlineStr">
        <is>
          <t>Confirmed</t>
        </is>
      </c>
      <c r="I11" s="2">
        <f> Y3 - Y2 at TC4 (400-300)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Axis</t>
        </is>
      </c>
      <c r="D1" s="1" t="inlineStr">
        <is>
          <t>BoundaryName</t>
        </is>
      </c>
      <c r="E1" s="1" t="inlineStr">
        <is>
          <t>Formula</t>
        </is>
      </c>
      <c r="F1" s="1" t="inlineStr">
        <is>
          <t>ExpectedValue</t>
        </is>
      </c>
      <c r="G1" s="1" t="inlineStr">
        <is>
          <t>Unit</t>
        </is>
      </c>
      <c r="H1" s="1" t="inlineStr">
        <is>
          <t>Tolerance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inlineStr">
        <is>
          <t>X</t>
        </is>
      </c>
      <c r="D2" s="2" t="inlineStr">
        <is>
          <t>X0</t>
        </is>
      </c>
      <c r="E2" s="2" t="inlineStr">
        <is>
          <t>0</t>
        </is>
      </c>
      <c r="F2" s="2" t="n">
        <v>0</v>
      </c>
      <c r="G2" s="2" t="inlineStr">
        <is>
          <t>mm</t>
        </is>
      </c>
      <c r="H2" s="2" t="n">
        <v>0.01</v>
      </c>
      <c r="I2" s="2" t="inlineStr">
        <is>
          <t>Confirmed</t>
        </is>
      </c>
      <c r="J2" s="2" t="inlineStr"/>
    </row>
    <row r="3">
      <c r="A3" s="2" t="inlineStr">
        <is>
          <t>CarryingHandleBox</t>
        </is>
      </c>
      <c r="B3" s="2" t="inlineStr">
        <is>
          <t>TC1</t>
        </is>
      </c>
      <c r="C3" s="2" t="inlineStr">
        <is>
          <t>X</t>
        </is>
      </c>
      <c r="D3" s="2" t="inlineStr">
        <is>
          <t>X1</t>
        </is>
      </c>
      <c r="E3" s="2" t="inlineStr">
        <is>
          <t>G</t>
        </is>
      </c>
      <c r="F3" s="2" t="n">
        <v>30</v>
      </c>
      <c r="G3" s="2" t="inlineStr">
        <is>
          <t>mm</t>
        </is>
      </c>
      <c r="H3" s="2" t="n">
        <v>0.01</v>
      </c>
      <c r="I3" s="2" t="inlineStr">
        <is>
          <t>Confirmed</t>
        </is>
      </c>
      <c r="J3" s="2" t="inlineStr"/>
    </row>
    <row r="4">
      <c r="A4" s="2" t="inlineStr">
        <is>
          <t>CarryingHandleBox</t>
        </is>
      </c>
      <c r="B4" s="2" t="inlineStr">
        <is>
          <t>TC1</t>
        </is>
      </c>
      <c r="C4" s="2" t="inlineStr">
        <is>
          <t>X</t>
        </is>
      </c>
      <c r="D4" s="2" t="inlineStr">
        <is>
          <t>X2</t>
        </is>
      </c>
      <c r="E4" s="2" t="inlineStr">
        <is>
          <t>X1 + L</t>
        </is>
      </c>
      <c r="F4" s="2" t="n">
        <v>330</v>
      </c>
      <c r="G4" s="2" t="inlineStr">
        <is>
          <t>mm</t>
        </is>
      </c>
      <c r="H4" s="2" t="n">
        <v>0.01</v>
      </c>
      <c r="I4" s="2" t="inlineStr">
        <is>
          <t>Confirmed</t>
        </is>
      </c>
      <c r="J4" s="2" t="inlineStr"/>
    </row>
    <row r="5">
      <c r="A5" s="2" t="inlineStr">
        <is>
          <t>CarryingHandleBox</t>
        </is>
      </c>
      <c r="B5" s="2" t="inlineStr">
        <is>
          <t>TC1</t>
        </is>
      </c>
      <c r="C5" s="2" t="inlineStr">
        <is>
          <t>X</t>
        </is>
      </c>
      <c r="D5" s="2" t="inlineStr">
        <is>
          <t>X3</t>
        </is>
      </c>
      <c r="E5" s="2" t="inlineStr">
        <is>
          <t>X2 + D</t>
        </is>
      </c>
      <c r="F5" s="2" t="n">
        <v>480</v>
      </c>
      <c r="G5" s="2" t="inlineStr">
        <is>
          <t>mm</t>
        </is>
      </c>
      <c r="H5" s="2" t="n">
        <v>0.01</v>
      </c>
      <c r="I5" s="2" t="inlineStr">
        <is>
          <t>Confirmed</t>
        </is>
      </c>
      <c r="J5" s="2" t="inlineStr"/>
    </row>
    <row r="6">
      <c r="A6" s="2" t="inlineStr">
        <is>
          <t>CarryingHandleBox</t>
        </is>
      </c>
      <c r="B6" s="2" t="inlineStr">
        <is>
          <t>TC1</t>
        </is>
      </c>
      <c r="C6" s="2" t="inlineStr">
        <is>
          <t>X</t>
        </is>
      </c>
      <c r="D6" s="2" t="inlineStr">
        <is>
          <t>X4</t>
        </is>
      </c>
      <c r="E6" s="2" t="inlineStr">
        <is>
          <t>X3 + L</t>
        </is>
      </c>
      <c r="F6" s="2" t="n">
        <v>780</v>
      </c>
      <c r="G6" s="2" t="inlineStr">
        <is>
          <t>mm</t>
        </is>
      </c>
      <c r="H6" s="2" t="n">
        <v>0.01</v>
      </c>
      <c r="I6" s="2" t="inlineStr">
        <is>
          <t>Confirmed</t>
        </is>
      </c>
      <c r="J6" s="2" t="inlineStr"/>
    </row>
    <row r="7">
      <c r="A7" s="2" t="inlineStr">
        <is>
          <t>CarryingHandleBox</t>
        </is>
      </c>
      <c r="B7" s="2" t="inlineStr">
        <is>
          <t>TC1</t>
        </is>
      </c>
      <c r="C7" s="2" t="inlineStr">
        <is>
          <t>X</t>
        </is>
      </c>
      <c r="D7" s="2" t="inlineStr">
        <is>
          <t>X5</t>
        </is>
      </c>
      <c r="E7" s="2" t="inlineStr">
        <is>
          <t>X4 + D</t>
        </is>
      </c>
      <c r="F7" s="2" t="n">
        <v>930</v>
      </c>
      <c r="G7" s="2" t="inlineStr">
        <is>
          <t>mm</t>
        </is>
      </c>
      <c r="H7" s="2" t="n">
        <v>0.01</v>
      </c>
      <c r="I7" s="2" t="inlineStr">
        <is>
          <t>Confirmed</t>
        </is>
      </c>
      <c r="J7" s="2" t="inlineStr"/>
    </row>
    <row r="8">
      <c r="A8" s="2" t="inlineStr">
        <is>
          <t>CarryingHandleBox</t>
        </is>
      </c>
      <c r="B8" s="2" t="inlineStr">
        <is>
          <t>TC1</t>
        </is>
      </c>
      <c r="C8" s="2" t="inlineStr">
        <is>
          <t>Y</t>
        </is>
      </c>
      <c r="D8" s="2" t="inlineStr">
        <is>
          <t>Y0</t>
        </is>
      </c>
      <c r="E8" s="2" t="inlineStr">
        <is>
          <t>0</t>
        </is>
      </c>
      <c r="F8" s="2" t="n">
        <v>0</v>
      </c>
      <c r="G8" s="2" t="inlineStr">
        <is>
          <t>mm</t>
        </is>
      </c>
      <c r="H8" s="2" t="n">
        <v>0.01</v>
      </c>
      <c r="I8" s="2" t="inlineStr">
        <is>
          <t>Confirmed</t>
        </is>
      </c>
      <c r="J8" s="2" t="inlineStr"/>
    </row>
    <row r="9">
      <c r="A9" s="2" t="inlineStr">
        <is>
          <t>CarryingHandleBox</t>
        </is>
      </c>
      <c r="B9" s="2" t="inlineStr">
        <is>
          <t>TC1</t>
        </is>
      </c>
      <c r="C9" s="2" t="inlineStr">
        <is>
          <t>Y</t>
        </is>
      </c>
      <c r="D9" s="2" t="inlineStr">
        <is>
          <t>Y1</t>
        </is>
      </c>
      <c r="E9" s="2" t="inlineStr">
        <is>
          <t>coverTotal</t>
        </is>
      </c>
      <c r="F9" s="2" t="n">
        <v>150</v>
      </c>
      <c r="G9" s="2" t="inlineStr">
        <is>
          <t>mm</t>
        </is>
      </c>
      <c r="H9" s="2" t="n">
        <v>0.01</v>
      </c>
      <c r="I9" s="2" t="inlineStr">
        <is>
          <t>Confirmed</t>
        </is>
      </c>
      <c r="J9" s="2" t="inlineStr"/>
    </row>
    <row r="10">
      <c r="A10" s="2" t="inlineStr">
        <is>
          <t>CarryingHandleBox</t>
        </is>
      </c>
      <c r="B10" s="2" t="inlineStr">
        <is>
          <t>TC1</t>
        </is>
      </c>
      <c r="C10" s="2" t="inlineStr">
        <is>
          <t>Y</t>
        </is>
      </c>
      <c r="D10" s="2" t="inlineStr">
        <is>
          <t>Y2</t>
        </is>
      </c>
      <c r="E10" s="2" t="inlineStr">
        <is>
          <t>Y1+H</t>
        </is>
      </c>
      <c r="F10" s="2" t="n">
        <v>330</v>
      </c>
      <c r="G10" s="2" t="inlineStr">
        <is>
          <t>mm</t>
        </is>
      </c>
      <c r="H10" s="2" t="n">
        <v>0.01</v>
      </c>
      <c r="I10" s="2" t="inlineStr">
        <is>
          <t>Confirmed</t>
        </is>
      </c>
      <c r="J10" s="2" t="inlineStr"/>
    </row>
    <row r="11">
      <c r="A11" s="2" t="inlineStr">
        <is>
          <t>CarryingHandleBox</t>
        </is>
      </c>
      <c r="B11" s="2" t="inlineStr">
        <is>
          <t>TC1</t>
        </is>
      </c>
      <c r="C11" s="2" t="inlineStr">
        <is>
          <t>Y</t>
        </is>
      </c>
      <c r="D11" s="2" t="inlineStr">
        <is>
          <t>Y3</t>
        </is>
      </c>
      <c r="E11" s="2" t="inlineStr">
        <is>
          <t>Y2+bottomFlapMax</t>
        </is>
      </c>
      <c r="F11" s="2" t="n">
        <v>435</v>
      </c>
      <c r="G11" s="2" t="inlineStr">
        <is>
          <t>mm</t>
        </is>
      </c>
      <c r="H11" s="2" t="n">
        <v>0.01</v>
      </c>
      <c r="I11" s="2" t="inlineStr">
        <is>
          <t>Confirmed</t>
        </is>
      </c>
      <c r="J11" s="2" t="inlineStr"/>
    </row>
    <row r="12">
      <c r="A12" s="2" t="inlineStr">
        <is>
          <t>CarryingHandleBox</t>
        </is>
      </c>
      <c r="B12" s="2" t="inlineStr">
        <is>
          <t>TC2</t>
        </is>
      </c>
      <c r="C12" s="2" t="inlineStr">
        <is>
          <t>X</t>
        </is>
      </c>
      <c r="D12" s="2" t="inlineStr">
        <is>
          <t>X0</t>
        </is>
      </c>
      <c r="E12" s="2" t="inlineStr">
        <is>
          <t>0</t>
        </is>
      </c>
      <c r="F12" s="2" t="n">
        <v>0</v>
      </c>
      <c r="G12" s="2" t="inlineStr">
        <is>
          <t>mm</t>
        </is>
      </c>
      <c r="H12" s="2" t="n">
        <v>0.01</v>
      </c>
      <c r="I12" s="2" t="inlineStr">
        <is>
          <t>Confirmed</t>
        </is>
      </c>
      <c r="J12" s="2" t="inlineStr"/>
    </row>
    <row r="13">
      <c r="A13" s="2" t="inlineStr">
        <is>
          <t>CarryingHandleBox</t>
        </is>
      </c>
      <c r="B13" s="2" t="inlineStr">
        <is>
          <t>TC2</t>
        </is>
      </c>
      <c r="C13" s="2" t="inlineStr">
        <is>
          <t>X</t>
        </is>
      </c>
      <c r="D13" s="2" t="inlineStr">
        <is>
          <t>X1</t>
        </is>
      </c>
      <c r="E13" s="2" t="inlineStr">
        <is>
          <t>G</t>
        </is>
      </c>
      <c r="F13" s="2" t="n">
        <v>30</v>
      </c>
      <c r="G13" s="2" t="inlineStr">
        <is>
          <t>mm</t>
        </is>
      </c>
      <c r="H13" s="2" t="n">
        <v>0.01</v>
      </c>
      <c r="I13" s="2" t="inlineStr">
        <is>
          <t>Confirmed</t>
        </is>
      </c>
      <c r="J13" s="2" t="inlineStr"/>
    </row>
    <row r="14">
      <c r="A14" s="2" t="inlineStr">
        <is>
          <t>CarryingHandleBox</t>
        </is>
      </c>
      <c r="B14" s="2" t="inlineStr">
        <is>
          <t>TC2</t>
        </is>
      </c>
      <c r="C14" s="2" t="inlineStr">
        <is>
          <t>X</t>
        </is>
      </c>
      <c r="D14" s="2" t="inlineStr">
        <is>
          <t>X2</t>
        </is>
      </c>
      <c r="E14" s="2" t="inlineStr">
        <is>
          <t>X1 + L</t>
        </is>
      </c>
      <c r="F14" s="2" t="n">
        <v>350</v>
      </c>
      <c r="G14" s="2" t="inlineStr">
        <is>
          <t>mm</t>
        </is>
      </c>
      <c r="H14" s="2" t="n">
        <v>0.01</v>
      </c>
      <c r="I14" s="2" t="inlineStr">
        <is>
          <t>Confirmed</t>
        </is>
      </c>
      <c r="J14" s="2" t="inlineStr"/>
    </row>
    <row r="15">
      <c r="A15" s="2" t="inlineStr">
        <is>
          <t>CarryingHandleBox</t>
        </is>
      </c>
      <c r="B15" s="2" t="inlineStr">
        <is>
          <t>TC2</t>
        </is>
      </c>
      <c r="C15" s="2" t="inlineStr">
        <is>
          <t>X</t>
        </is>
      </c>
      <c r="D15" s="2" t="inlineStr">
        <is>
          <t>X3</t>
        </is>
      </c>
      <c r="E15" s="2" t="inlineStr">
        <is>
          <t>X2 + D</t>
        </is>
      </c>
      <c r="F15" s="2" t="n">
        <v>510</v>
      </c>
      <c r="G15" s="2" t="inlineStr">
        <is>
          <t>mm</t>
        </is>
      </c>
      <c r="H15" s="2" t="n">
        <v>0.01</v>
      </c>
      <c r="I15" s="2" t="inlineStr">
        <is>
          <t>Confirmed</t>
        </is>
      </c>
      <c r="J15" s="2" t="inlineStr"/>
    </row>
    <row r="16">
      <c r="A16" s="2" t="inlineStr">
        <is>
          <t>CarryingHandleBox</t>
        </is>
      </c>
      <c r="B16" s="2" t="inlineStr">
        <is>
          <t>TC2</t>
        </is>
      </c>
      <c r="C16" s="2" t="inlineStr">
        <is>
          <t>X</t>
        </is>
      </c>
      <c r="D16" s="2" t="inlineStr">
        <is>
          <t>X4</t>
        </is>
      </c>
      <c r="E16" s="2" t="inlineStr">
        <is>
          <t>X3 + L</t>
        </is>
      </c>
      <c r="F16" s="2" t="n">
        <v>830</v>
      </c>
      <c r="G16" s="2" t="inlineStr">
        <is>
          <t>mm</t>
        </is>
      </c>
      <c r="H16" s="2" t="n">
        <v>0.01</v>
      </c>
      <c r="I16" s="2" t="inlineStr">
        <is>
          <t>Confirmed</t>
        </is>
      </c>
      <c r="J16" s="2" t="inlineStr"/>
    </row>
    <row r="17">
      <c r="A17" s="2" t="inlineStr">
        <is>
          <t>CarryingHandleBox</t>
        </is>
      </c>
      <c r="B17" s="2" t="inlineStr">
        <is>
          <t>TC2</t>
        </is>
      </c>
      <c r="C17" s="2" t="inlineStr">
        <is>
          <t>X</t>
        </is>
      </c>
      <c r="D17" s="2" t="inlineStr">
        <is>
          <t>X5</t>
        </is>
      </c>
      <c r="E17" s="2" t="inlineStr">
        <is>
          <t>X4 + D</t>
        </is>
      </c>
      <c r="F17" s="2" t="n">
        <v>990</v>
      </c>
      <c r="G17" s="2" t="inlineStr">
        <is>
          <t>mm</t>
        </is>
      </c>
      <c r="H17" s="2" t="n">
        <v>0.01</v>
      </c>
      <c r="I17" s="2" t="inlineStr">
        <is>
          <t>Confirmed</t>
        </is>
      </c>
      <c r="J17" s="2" t="inlineStr"/>
    </row>
    <row r="18">
      <c r="A18" s="2" t="inlineStr">
        <is>
          <t>CarryingHandleBox</t>
        </is>
      </c>
      <c r="B18" s="2" t="inlineStr">
        <is>
          <t>TC2</t>
        </is>
      </c>
      <c r="C18" s="2" t="inlineStr">
        <is>
          <t>Y</t>
        </is>
      </c>
      <c r="D18" s="2" t="inlineStr">
        <is>
          <t>Y0</t>
        </is>
      </c>
      <c r="E18" s="2" t="inlineStr">
        <is>
          <t>0</t>
        </is>
      </c>
      <c r="F18" s="2" t="n">
        <v>0</v>
      </c>
      <c r="G18" s="2" t="inlineStr">
        <is>
          <t>mm</t>
        </is>
      </c>
      <c r="H18" s="2" t="n">
        <v>0.01</v>
      </c>
      <c r="I18" s="2" t="inlineStr">
        <is>
          <t>Confirmed</t>
        </is>
      </c>
      <c r="J18" s="2" t="inlineStr"/>
    </row>
    <row r="19">
      <c r="A19" s="2" t="inlineStr">
        <is>
          <t>CarryingHandleBox</t>
        </is>
      </c>
      <c r="B19" s="2" t="inlineStr">
        <is>
          <t>TC2</t>
        </is>
      </c>
      <c r="C19" s="2" t="inlineStr">
        <is>
          <t>Y</t>
        </is>
      </c>
      <c r="D19" s="2" t="inlineStr">
        <is>
          <t>Y1</t>
        </is>
      </c>
      <c r="E19" s="2" t="inlineStr">
        <is>
          <t>coverTotal</t>
        </is>
      </c>
      <c r="F19" s="2" t="n">
        <v>160</v>
      </c>
      <c r="G19" s="2" t="inlineStr">
        <is>
          <t>mm</t>
        </is>
      </c>
      <c r="H19" s="2" t="n">
        <v>0.01</v>
      </c>
      <c r="I19" s="2" t="inlineStr">
        <is>
          <t>Confirmed</t>
        </is>
      </c>
      <c r="J19" s="2" t="inlineStr"/>
    </row>
    <row r="20">
      <c r="A20" s="2" t="inlineStr">
        <is>
          <t>CarryingHandleBox</t>
        </is>
      </c>
      <c r="B20" s="2" t="inlineStr">
        <is>
          <t>TC2</t>
        </is>
      </c>
      <c r="C20" s="2" t="inlineStr">
        <is>
          <t>Y</t>
        </is>
      </c>
      <c r="D20" s="2" t="inlineStr">
        <is>
          <t>Y2</t>
        </is>
      </c>
      <c r="E20" s="2" t="inlineStr">
        <is>
          <t>Y1+H</t>
        </is>
      </c>
      <c r="F20" s="2" t="n">
        <v>330</v>
      </c>
      <c r="G20" s="2" t="inlineStr">
        <is>
          <t>mm</t>
        </is>
      </c>
      <c r="H20" s="2" t="n">
        <v>0.01</v>
      </c>
      <c r="I20" s="2" t="inlineStr">
        <is>
          <t>Confirmed</t>
        </is>
      </c>
      <c r="J20" s="2" t="inlineStr"/>
    </row>
    <row r="21">
      <c r="A21" s="2" t="inlineStr">
        <is>
          <t>CarryingHandleBox</t>
        </is>
      </c>
      <c r="B21" s="2" t="inlineStr">
        <is>
          <t>TC2</t>
        </is>
      </c>
      <c r="C21" s="2" t="inlineStr">
        <is>
          <t>Y</t>
        </is>
      </c>
      <c r="D21" s="2" t="inlineStr">
        <is>
          <t>Y3</t>
        </is>
      </c>
      <c r="E21" s="2" t="inlineStr">
        <is>
          <t>Y2+bottomFlapMax</t>
        </is>
      </c>
      <c r="F21" s="2" t="n">
        <v>442</v>
      </c>
      <c r="G21" s="2" t="inlineStr">
        <is>
          <t>mm</t>
        </is>
      </c>
      <c r="H21" s="2" t="n">
        <v>0.01</v>
      </c>
      <c r="I21" s="2" t="inlineStr">
        <is>
          <t>Confirmed</t>
        </is>
      </c>
      <c r="J21" s="2" t="inlineStr"/>
    </row>
    <row r="22">
      <c r="A22" s="2" t="inlineStr">
        <is>
          <t>CarryingHandleBox</t>
        </is>
      </c>
      <c r="B22" s="2" t="inlineStr">
        <is>
          <t>TC3</t>
        </is>
      </c>
      <c r="C22" s="2" t="inlineStr">
        <is>
          <t>X</t>
        </is>
      </c>
      <c r="D22" s="2" t="inlineStr">
        <is>
          <t>X0</t>
        </is>
      </c>
      <c r="E22" s="2" t="inlineStr">
        <is>
          <t>0</t>
        </is>
      </c>
      <c r="F22" s="2" t="n">
        <v>0</v>
      </c>
      <c r="G22" s="2" t="inlineStr">
        <is>
          <t>mm</t>
        </is>
      </c>
      <c r="H22" s="2" t="n">
        <v>0.01</v>
      </c>
      <c r="I22" s="2" t="inlineStr">
        <is>
          <t>Confirmed</t>
        </is>
      </c>
      <c r="J22" s="2" t="inlineStr"/>
    </row>
    <row r="23">
      <c r="A23" s="2" t="inlineStr">
        <is>
          <t>CarryingHandleBox</t>
        </is>
      </c>
      <c r="B23" s="2" t="inlineStr">
        <is>
          <t>TC3</t>
        </is>
      </c>
      <c r="C23" s="2" t="inlineStr">
        <is>
          <t>X</t>
        </is>
      </c>
      <c r="D23" s="2" t="inlineStr">
        <is>
          <t>X1</t>
        </is>
      </c>
      <c r="E23" s="2" t="inlineStr">
        <is>
          <t>G</t>
        </is>
      </c>
      <c r="F23" s="2" t="n">
        <v>30</v>
      </c>
      <c r="G23" s="2" t="inlineStr">
        <is>
          <t>mm</t>
        </is>
      </c>
      <c r="H23" s="2" t="n">
        <v>0.01</v>
      </c>
      <c r="I23" s="2" t="inlineStr">
        <is>
          <t>Confirmed</t>
        </is>
      </c>
      <c r="J23" s="2" t="inlineStr"/>
    </row>
    <row r="24">
      <c r="A24" s="2" t="inlineStr">
        <is>
          <t>CarryingHandleBox</t>
        </is>
      </c>
      <c r="B24" s="2" t="inlineStr">
        <is>
          <t>TC3</t>
        </is>
      </c>
      <c r="C24" s="2" t="inlineStr">
        <is>
          <t>X</t>
        </is>
      </c>
      <c r="D24" s="2" t="inlineStr">
        <is>
          <t>X2</t>
        </is>
      </c>
      <c r="E24" s="2" t="inlineStr">
        <is>
          <t>X1 + L</t>
        </is>
      </c>
      <c r="F24" s="2" t="n">
        <v>310</v>
      </c>
      <c r="G24" s="2" t="inlineStr">
        <is>
          <t>mm</t>
        </is>
      </c>
      <c r="H24" s="2" t="n">
        <v>0.01</v>
      </c>
      <c r="I24" s="2" t="inlineStr">
        <is>
          <t>Confirmed</t>
        </is>
      </c>
      <c r="J24" s="2" t="inlineStr"/>
    </row>
    <row r="25">
      <c r="A25" s="2" t="inlineStr">
        <is>
          <t>CarryingHandleBox</t>
        </is>
      </c>
      <c r="B25" s="2" t="inlineStr">
        <is>
          <t>TC3</t>
        </is>
      </c>
      <c r="C25" s="2" t="inlineStr">
        <is>
          <t>X</t>
        </is>
      </c>
      <c r="D25" s="2" t="inlineStr">
        <is>
          <t>X3</t>
        </is>
      </c>
      <c r="E25" s="2" t="inlineStr">
        <is>
          <t>X2 + D</t>
        </is>
      </c>
      <c r="F25" s="2" t="n">
        <v>465</v>
      </c>
      <c r="G25" s="2" t="inlineStr">
        <is>
          <t>mm</t>
        </is>
      </c>
      <c r="H25" s="2" t="n">
        <v>0.01</v>
      </c>
      <c r="I25" s="2" t="inlineStr">
        <is>
          <t>Confirmed</t>
        </is>
      </c>
      <c r="J25" s="2" t="inlineStr"/>
    </row>
    <row r="26">
      <c r="A26" s="2" t="inlineStr">
        <is>
          <t>CarryingHandleBox</t>
        </is>
      </c>
      <c r="B26" s="2" t="inlineStr">
        <is>
          <t>TC3</t>
        </is>
      </c>
      <c r="C26" s="2" t="inlineStr">
        <is>
          <t>X</t>
        </is>
      </c>
      <c r="D26" s="2" t="inlineStr">
        <is>
          <t>X4</t>
        </is>
      </c>
      <c r="E26" s="2" t="inlineStr">
        <is>
          <t>X3 + L</t>
        </is>
      </c>
      <c r="F26" s="2" t="n">
        <v>745</v>
      </c>
      <c r="G26" s="2" t="inlineStr">
        <is>
          <t>mm</t>
        </is>
      </c>
      <c r="H26" s="2" t="n">
        <v>0.01</v>
      </c>
      <c r="I26" s="2" t="inlineStr">
        <is>
          <t>Confirmed</t>
        </is>
      </c>
      <c r="J26" s="2" t="inlineStr"/>
    </row>
    <row r="27">
      <c r="A27" s="2" t="inlineStr">
        <is>
          <t>CarryingHandleBox</t>
        </is>
      </c>
      <c r="B27" s="2" t="inlineStr">
        <is>
          <t>TC3</t>
        </is>
      </c>
      <c r="C27" s="2" t="inlineStr">
        <is>
          <t>X</t>
        </is>
      </c>
      <c r="D27" s="2" t="inlineStr">
        <is>
          <t>X5</t>
        </is>
      </c>
      <c r="E27" s="2" t="inlineStr">
        <is>
          <t>X4 + D</t>
        </is>
      </c>
      <c r="F27" s="2" t="n">
        <v>900</v>
      </c>
      <c r="G27" s="2" t="inlineStr">
        <is>
          <t>mm</t>
        </is>
      </c>
      <c r="H27" s="2" t="n">
        <v>0.01</v>
      </c>
      <c r="I27" s="2" t="inlineStr">
        <is>
          <t>Confirmed</t>
        </is>
      </c>
      <c r="J27" s="2" t="inlineStr"/>
    </row>
    <row r="28">
      <c r="A28" s="2" t="inlineStr">
        <is>
          <t>CarryingHandleBox</t>
        </is>
      </c>
      <c r="B28" s="2" t="inlineStr">
        <is>
          <t>TC4</t>
        </is>
      </c>
      <c r="C28" s="2" t="inlineStr">
        <is>
          <t>X</t>
        </is>
      </c>
      <c r="D28" s="2" t="inlineStr">
        <is>
          <t>X0</t>
        </is>
      </c>
      <c r="E28" s="2" t="inlineStr">
        <is>
          <t>0</t>
        </is>
      </c>
      <c r="F28" s="2" t="n">
        <v>0</v>
      </c>
      <c r="G28" s="2" t="inlineStr">
        <is>
          <t>mm</t>
        </is>
      </c>
      <c r="H28" s="2" t="n">
        <v>0.01</v>
      </c>
      <c r="I28" s="2" t="inlineStr">
        <is>
          <t>Confirmed</t>
        </is>
      </c>
      <c r="J28" s="2" t="inlineStr"/>
    </row>
    <row r="29">
      <c r="A29" s="2" t="inlineStr">
        <is>
          <t>CarryingHandleBox</t>
        </is>
      </c>
      <c r="B29" s="2" t="inlineStr">
        <is>
          <t>TC4</t>
        </is>
      </c>
      <c r="C29" s="2" t="inlineStr">
        <is>
          <t>X</t>
        </is>
      </c>
      <c r="D29" s="2" t="inlineStr">
        <is>
          <t>X1</t>
        </is>
      </c>
      <c r="E29" s="2" t="inlineStr">
        <is>
          <t>G</t>
        </is>
      </c>
      <c r="F29" s="2" t="n">
        <v>30</v>
      </c>
      <c r="G29" s="2" t="inlineStr">
        <is>
          <t>mm</t>
        </is>
      </c>
      <c r="H29" s="2" t="n">
        <v>0.01</v>
      </c>
      <c r="I29" s="2" t="inlineStr">
        <is>
          <t>Confirmed</t>
        </is>
      </c>
      <c r="J29" s="2" t="inlineStr"/>
    </row>
    <row r="30">
      <c r="A30" s="2" t="inlineStr">
        <is>
          <t>CarryingHandleBox</t>
        </is>
      </c>
      <c r="B30" s="2" t="inlineStr">
        <is>
          <t>TC4</t>
        </is>
      </c>
      <c r="C30" s="2" t="inlineStr">
        <is>
          <t>X</t>
        </is>
      </c>
      <c r="D30" s="2" t="inlineStr">
        <is>
          <t>X2</t>
        </is>
      </c>
      <c r="E30" s="2" t="inlineStr">
        <is>
          <t>X1 + L</t>
        </is>
      </c>
      <c r="F30" s="2" t="n">
        <v>360</v>
      </c>
      <c r="G30" s="2" t="inlineStr">
        <is>
          <t>mm</t>
        </is>
      </c>
      <c r="H30" s="2" t="n">
        <v>0.01</v>
      </c>
      <c r="I30" s="2" t="inlineStr">
        <is>
          <t>Confirmed</t>
        </is>
      </c>
      <c r="J30" s="2" t="inlineStr"/>
    </row>
    <row r="31">
      <c r="A31" s="2" t="inlineStr">
        <is>
          <t>CarryingHandleBox</t>
        </is>
      </c>
      <c r="B31" s="2" t="inlineStr">
        <is>
          <t>TC4</t>
        </is>
      </c>
      <c r="C31" s="2" t="inlineStr">
        <is>
          <t>X</t>
        </is>
      </c>
      <c r="D31" s="2" t="inlineStr">
        <is>
          <t>X3</t>
        </is>
      </c>
      <c r="E31" s="2" t="inlineStr">
        <is>
          <t>X2 + D</t>
        </is>
      </c>
      <c r="F31" s="2" t="n">
        <v>500</v>
      </c>
      <c r="G31" s="2" t="inlineStr">
        <is>
          <t>mm</t>
        </is>
      </c>
      <c r="H31" s="2" t="n">
        <v>0.01</v>
      </c>
      <c r="I31" s="2" t="inlineStr">
        <is>
          <t>Confirmed</t>
        </is>
      </c>
      <c r="J31" s="2" t="inlineStr"/>
    </row>
    <row r="32">
      <c r="A32" s="2" t="inlineStr">
        <is>
          <t>CarryingHandleBox</t>
        </is>
      </c>
      <c r="B32" s="2" t="inlineStr">
        <is>
          <t>TC4</t>
        </is>
      </c>
      <c r="C32" s="2" t="inlineStr">
        <is>
          <t>X</t>
        </is>
      </c>
      <c r="D32" s="2" t="inlineStr">
        <is>
          <t>X4</t>
        </is>
      </c>
      <c r="E32" s="2" t="inlineStr">
        <is>
          <t>X3 + L</t>
        </is>
      </c>
      <c r="F32" s="2" t="n">
        <v>830</v>
      </c>
      <c r="G32" s="2" t="inlineStr">
        <is>
          <t>mm</t>
        </is>
      </c>
      <c r="H32" s="2" t="n">
        <v>0.01</v>
      </c>
      <c r="I32" s="2" t="inlineStr">
        <is>
          <t>Confirmed</t>
        </is>
      </c>
      <c r="J32" s="2" t="inlineStr"/>
    </row>
    <row r="33">
      <c r="A33" s="2" t="inlineStr">
        <is>
          <t>CarryingHandleBox</t>
        </is>
      </c>
      <c r="B33" s="2" t="inlineStr">
        <is>
          <t>TC4</t>
        </is>
      </c>
      <c r="C33" s="2" t="inlineStr">
        <is>
          <t>X</t>
        </is>
      </c>
      <c r="D33" s="2" t="inlineStr">
        <is>
          <t>X5</t>
        </is>
      </c>
      <c r="E33" s="2" t="inlineStr">
        <is>
          <t>X4 + D</t>
        </is>
      </c>
      <c r="F33" s="2" t="n">
        <v>970</v>
      </c>
      <c r="G33" s="2" t="inlineStr">
        <is>
          <t>mm</t>
        </is>
      </c>
      <c r="H33" s="2" t="n">
        <v>0.01</v>
      </c>
      <c r="I33" s="2" t="inlineStr">
        <is>
          <t>Confirmed</t>
        </is>
      </c>
      <c r="J33" s="2" t="inlineStr"/>
    </row>
    <row r="34">
      <c r="A34" s="2" t="inlineStr">
        <is>
          <t>CarryingHandleBox</t>
        </is>
      </c>
      <c r="B34" s="2" t="inlineStr">
        <is>
          <t>TC4</t>
        </is>
      </c>
      <c r="C34" s="2" t="inlineStr">
        <is>
          <t>Y</t>
        </is>
      </c>
      <c r="D34" s="2" t="inlineStr">
        <is>
          <t>Y0</t>
        </is>
      </c>
      <c r="E34" s="2" t="inlineStr">
        <is>
          <t>0</t>
        </is>
      </c>
      <c r="F34" s="2" t="n">
        <v>0</v>
      </c>
      <c r="G34" s="2" t="inlineStr">
        <is>
          <t>mm</t>
        </is>
      </c>
      <c r="H34" s="2" t="n">
        <v>0.01</v>
      </c>
      <c r="I34" s="2" t="inlineStr">
        <is>
          <t>Confirmed</t>
        </is>
      </c>
      <c r="J34" s="2" t="inlineStr"/>
    </row>
    <row r="35">
      <c r="A35" s="2" t="inlineStr">
        <is>
          <t>CarryingHandleBox</t>
        </is>
      </c>
      <c r="B35" s="2" t="inlineStr">
        <is>
          <t>TC4</t>
        </is>
      </c>
      <c r="C35" s="2" t="inlineStr">
        <is>
          <t>Y</t>
        </is>
      </c>
      <c r="D35" s="2" t="inlineStr">
        <is>
          <t>Y1</t>
        </is>
      </c>
      <c r="E35" s="2" t="inlineStr">
        <is>
          <t>coverTotal</t>
        </is>
      </c>
      <c r="F35" s="2" t="n">
        <v>140</v>
      </c>
      <c r="G35" s="2" t="inlineStr">
        <is>
          <t>mm</t>
        </is>
      </c>
      <c r="H35" s="2" t="n">
        <v>0.01</v>
      </c>
      <c r="I35" s="2" t="inlineStr">
        <is>
          <t>Confirmed</t>
        </is>
      </c>
      <c r="J35" s="2" t="inlineStr"/>
    </row>
    <row r="36">
      <c r="A36" s="2" t="inlineStr">
        <is>
          <t>CarryingHandleBox</t>
        </is>
      </c>
      <c r="B36" s="2" t="inlineStr">
        <is>
          <t>TC4</t>
        </is>
      </c>
      <c r="C36" s="2" t="inlineStr">
        <is>
          <t>Y</t>
        </is>
      </c>
      <c r="D36" s="2" t="inlineStr">
        <is>
          <t>Y2</t>
        </is>
      </c>
      <c r="E36" s="2" t="inlineStr">
        <is>
          <t>Y1+H</t>
        </is>
      </c>
      <c r="F36" s="2" t="n">
        <v>300</v>
      </c>
      <c r="G36" s="2" t="inlineStr">
        <is>
          <t>mm</t>
        </is>
      </c>
      <c r="H36" s="2" t="n">
        <v>0.01</v>
      </c>
      <c r="I36" s="2" t="inlineStr">
        <is>
          <t>Confirmed</t>
        </is>
      </c>
      <c r="J36" s="2" t="inlineStr"/>
    </row>
    <row r="37">
      <c r="A37" s="2" t="inlineStr">
        <is>
          <t>CarryingHandleBox</t>
        </is>
      </c>
      <c r="B37" s="2" t="inlineStr">
        <is>
          <t>TC4</t>
        </is>
      </c>
      <c r="C37" s="2" t="inlineStr">
        <is>
          <t>Y</t>
        </is>
      </c>
      <c r="D37" s="2" t="inlineStr">
        <is>
          <t>Y3</t>
        </is>
      </c>
      <c r="E37" s="2" t="inlineStr">
        <is>
          <t>Y2+bottomFlapMax</t>
        </is>
      </c>
      <c r="F37" s="2" t="n">
        <v>400</v>
      </c>
      <c r="G37" s="2" t="inlineStr">
        <is>
          <t>mm</t>
        </is>
      </c>
      <c r="H37" s="2" t="n">
        <v>0.01</v>
      </c>
      <c r="I37" s="2" t="inlineStr">
        <is>
          <t>Confirmed</t>
        </is>
      </c>
      <c r="J37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4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FootprintWidthFormula</t>
        </is>
      </c>
      <c r="D1" s="1" t="inlineStr">
        <is>
          <t>FootprintHeightFormula</t>
        </is>
      </c>
      <c r="E1" s="1" t="inlineStr">
        <is>
          <t>ExpectedFootprintW</t>
        </is>
      </c>
      <c r="F1" s="1" t="inlineStr">
        <is>
          <t>ExpectedFootprintH</t>
        </is>
      </c>
      <c r="G1" s="1" t="inlineStr">
        <is>
          <t>Unit</t>
        </is>
      </c>
      <c r="H1" s="1" t="inlineStr">
        <is>
          <t>Tolerance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inlineStr">
        <is>
          <t>X5 = G + 2L + 2D</t>
        </is>
      </c>
      <c r="D2" s="2" t="inlineStr">
        <is>
          <t>Y3 = coverTotal + H + bottomFlapMax</t>
        </is>
      </c>
      <c r="E2" s="2" t="n">
        <v>930</v>
      </c>
      <c r="F2" s="2" t="n">
        <v>435</v>
      </c>
      <c r="G2" s="2" t="inlineStr">
        <is>
          <t>mm</t>
        </is>
      </c>
      <c r="H2" s="2" t="n">
        <v>0.01</v>
      </c>
      <c r="I2" s="2" t="inlineStr">
        <is>
          <t>Confirmed</t>
        </is>
      </c>
      <c r="J2" s="2" t="inlineStr"/>
    </row>
    <row r="3">
      <c r="A3" s="2" t="inlineStr">
        <is>
          <t>CarryingHandleBox</t>
        </is>
      </c>
      <c r="B3" s="2" t="inlineStr">
        <is>
          <t>TC2</t>
        </is>
      </c>
      <c r="C3" s="2" t="inlineStr">
        <is>
          <t>X5 = G + 2L + 2D</t>
        </is>
      </c>
      <c r="D3" s="2" t="inlineStr">
        <is>
          <t>Y3 = coverTotal + H + bottomFlapMax</t>
        </is>
      </c>
      <c r="E3" s="2" t="n">
        <v>990</v>
      </c>
      <c r="F3" s="2" t="n">
        <v>442</v>
      </c>
      <c r="G3" s="2" t="inlineStr">
        <is>
          <t>mm</t>
        </is>
      </c>
      <c r="H3" s="2" t="n">
        <v>0.01</v>
      </c>
      <c r="I3" s="2" t="inlineStr">
        <is>
          <t>Confirmed</t>
        </is>
      </c>
      <c r="J3" s="2" t="inlineStr"/>
    </row>
    <row r="4">
      <c r="A4" s="2" t="inlineStr">
        <is>
          <t>CarryingHandleBox</t>
        </is>
      </c>
      <c r="B4" s="2" t="inlineStr">
        <is>
          <t>TC3</t>
        </is>
      </c>
      <c r="C4" s="2" t="inlineStr">
        <is>
          <t>X5 = G + 2L + 2D</t>
        </is>
      </c>
      <c r="D4" s="2" t="inlineStr">
        <is>
          <t>Y3 = coverTotal + H + bottomFlapMax</t>
        </is>
      </c>
      <c r="E4" s="2" t="n">
        <v>900</v>
      </c>
      <c r="F4" s="2" t="n">
        <v>433.5</v>
      </c>
      <c r="G4" s="2" t="inlineStr">
        <is>
          <t>mm</t>
        </is>
      </c>
      <c r="H4" s="2" t="n">
        <v>0.01</v>
      </c>
      <c r="I4" s="2" t="inlineStr">
        <is>
          <t>Confirmed</t>
        </is>
      </c>
      <c r="J4" s="2" t="inlineStr"/>
    </row>
    <row r="5">
      <c r="A5" s="2" t="inlineStr">
        <is>
          <t>CarryingHandleBox</t>
        </is>
      </c>
      <c r="B5" s="2" t="inlineStr">
        <is>
          <t>TC4</t>
        </is>
      </c>
      <c r="C5" s="2" t="inlineStr">
        <is>
          <t>X5 = G + 2L + 2D</t>
        </is>
      </c>
      <c r="D5" s="2" t="inlineStr">
        <is>
          <t>Y3 = coverTotal + H + bottomFlapMax</t>
        </is>
      </c>
      <c r="E5" s="2" t="n">
        <v>970</v>
      </c>
      <c r="F5" s="2" t="n">
        <v>400</v>
      </c>
      <c r="G5" s="2" t="inlineStr">
        <is>
          <t>mm</t>
        </is>
      </c>
      <c r="H5" s="2" t="n">
        <v>0.01</v>
      </c>
      <c r="I5" s="2" t="inlineStr">
        <is>
          <t>Confirmed</t>
        </is>
      </c>
      <c r="J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PitchXFormula</t>
        </is>
      </c>
      <c r="D1" s="1" t="inlineStr">
        <is>
          <t>PitchYFormula</t>
        </is>
      </c>
      <c r="E1" s="1" t="inlineStr">
        <is>
          <t>ExpectedPitchX</t>
        </is>
      </c>
      <c r="F1" s="1" t="inlineStr">
        <is>
          <t>ExpectedPitchY</t>
        </is>
      </c>
      <c r="G1" s="1" t="inlineStr">
        <is>
          <t>Gap</t>
        </is>
      </c>
      <c r="H1" s="1" t="inlineStr">
        <is>
          <t>Unit</t>
        </is>
      </c>
      <c r="I1" s="1" t="inlineStr">
        <is>
          <t>Tolerance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inlineStr">
        <is>
          <t>FootprintW + Gap</t>
        </is>
      </c>
      <c r="D2" s="2" t="inlineStr">
        <is>
          <t>FootprintH + Gap</t>
        </is>
      </c>
      <c r="E2" s="2" t="n">
        <v>935</v>
      </c>
      <c r="F2" s="2" t="n">
        <v>440</v>
      </c>
      <c r="G2" s="2" t="n">
        <v>5</v>
      </c>
      <c r="H2" s="2" t="inlineStr">
        <is>
          <t>mm</t>
        </is>
      </c>
      <c r="I2" s="2" t="n">
        <v>0.01</v>
      </c>
      <c r="J2" s="2" t="inlineStr">
        <is>
          <t>Confirmed</t>
        </is>
      </c>
      <c r="K2" s="2" t="inlineStr"/>
    </row>
    <row r="3">
      <c r="A3" s="2" t="inlineStr">
        <is>
          <t>CarryingHandleBox</t>
        </is>
      </c>
      <c r="B3" s="2" t="inlineStr">
        <is>
          <t>TC2</t>
        </is>
      </c>
      <c r="C3" s="2" t="inlineStr">
        <is>
          <t>FootprintW + Gap</t>
        </is>
      </c>
      <c r="D3" s="2" t="inlineStr">
        <is>
          <t>FootprintH + Gap</t>
        </is>
      </c>
      <c r="E3" s="2" t="n">
        <v>995</v>
      </c>
      <c r="F3" s="2" t="n">
        <v>447</v>
      </c>
      <c r="G3" s="2" t="n">
        <v>5</v>
      </c>
      <c r="H3" s="2" t="inlineStr">
        <is>
          <t>mm</t>
        </is>
      </c>
      <c r="I3" s="2" t="n">
        <v>0.01</v>
      </c>
      <c r="J3" s="2" t="inlineStr">
        <is>
          <t>Confirmed</t>
        </is>
      </c>
      <c r="K3" s="2" t="inlineStr"/>
    </row>
    <row r="4">
      <c r="A4" s="2" t="inlineStr">
        <is>
          <t>CarryingHandleBox</t>
        </is>
      </c>
      <c r="B4" s="2" t="inlineStr">
        <is>
          <t>TC3</t>
        </is>
      </c>
      <c r="C4" s="2" t="inlineStr">
        <is>
          <t>FootprintW + Gap</t>
        </is>
      </c>
      <c r="D4" s="2" t="inlineStr">
        <is>
          <t>FootprintH + Gap</t>
        </is>
      </c>
      <c r="E4" s="2" t="n">
        <v>905</v>
      </c>
      <c r="F4" s="2" t="n">
        <v>438.5</v>
      </c>
      <c r="G4" s="2" t="n">
        <v>5</v>
      </c>
      <c r="H4" s="2" t="inlineStr">
        <is>
          <t>mm</t>
        </is>
      </c>
      <c r="I4" s="2" t="n">
        <v>0.01</v>
      </c>
      <c r="J4" s="2" t="inlineStr">
        <is>
          <t>Confirmed</t>
        </is>
      </c>
      <c r="K4" s="2" t="inlineStr"/>
    </row>
    <row r="5">
      <c r="A5" s="2" t="inlineStr">
        <is>
          <t>CarryingHandleBox</t>
        </is>
      </c>
      <c r="B5" s="2" t="inlineStr">
        <is>
          <t>TC4</t>
        </is>
      </c>
      <c r="C5" s="2" t="inlineStr">
        <is>
          <t>FootprintW + Gap</t>
        </is>
      </c>
      <c r="D5" s="2" t="inlineStr">
        <is>
          <t>FootprintH + Gap</t>
        </is>
      </c>
      <c r="E5" s="2" t="n">
        <v>975</v>
      </c>
      <c r="F5" s="2" t="n">
        <v>405</v>
      </c>
      <c r="G5" s="2" t="n">
        <v>5</v>
      </c>
      <c r="H5" s="2" t="inlineStr">
        <is>
          <t>mm</t>
        </is>
      </c>
      <c r="I5" s="2" t="n">
        <v>0.01</v>
      </c>
      <c r="J5" s="2" t="inlineStr">
        <is>
          <t>Confirmed</t>
        </is>
      </c>
      <c r="K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22" customWidth="1" min="6" max="6"/>
    <col width="17" customWidth="1" min="7" max="7"/>
    <col width="14" customWidth="1" min="8" max="8"/>
    <col width="14" customWidth="1" min="9" max="9"/>
    <col width="18" customWidth="1" min="10" max="10"/>
    <col width="19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7" customWidth="1" min="21" max="21"/>
    <col width="20" customWidth="1" min="22" max="22"/>
    <col width="14" customWidth="1" min="23" max="23"/>
    <col width="20" customWidth="1" min="24" max="24"/>
    <col width="14" customWidth="1" min="25" max="25"/>
    <col width="19" customWidth="1" min="26" max="26"/>
    <col width="22" customWidth="1" min="27" max="27"/>
    <col width="21" customWidth="1" min="28" max="28"/>
    <col width="28" customWidth="1" min="29" max="29"/>
    <col width="14" customWidth="1" min="30" max="30"/>
    <col width="14" customWidth="1" min="31" max="31"/>
    <col width="14" customWidth="1" min="32" max="32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ScenarioName</t>
        </is>
      </c>
      <c r="D1" s="1" t="inlineStr">
        <is>
          <t>PieceRotation</t>
        </is>
      </c>
      <c r="E1" s="1" t="inlineStr">
        <is>
          <t>SheetOrientation</t>
        </is>
      </c>
      <c r="F1" s="1" t="inlineStr">
        <is>
          <t>MixedRotationAllowed</t>
        </is>
      </c>
      <c r="G1" s="1" t="inlineStr">
        <is>
          <t>EngineSupported</t>
        </is>
      </c>
      <c r="H1" s="1" t="inlineStr">
        <is>
          <t>SheetWidth</t>
        </is>
      </c>
      <c r="I1" s="1" t="inlineStr">
        <is>
          <t>SheetHeight</t>
        </is>
      </c>
      <c r="J1" s="1" t="inlineStr">
        <is>
          <t>UsableSheetWidth</t>
        </is>
      </c>
      <c r="K1" s="1" t="inlineStr">
        <is>
          <t>UsableSheetHeight</t>
        </is>
      </c>
      <c r="L1" s="1" t="inlineStr">
        <is>
          <t>Gap</t>
        </is>
      </c>
      <c r="M1" s="1" t="inlineStr">
        <is>
          <t>PitchX</t>
        </is>
      </c>
      <c r="N1" s="1" t="inlineStr">
        <is>
          <t>PitchY</t>
        </is>
      </c>
      <c r="O1" s="1" t="inlineStr">
        <is>
          <t>Columns</t>
        </is>
      </c>
      <c r="P1" s="1" t="inlineStr">
        <is>
          <t>Rows</t>
        </is>
      </c>
      <c r="Q1" s="1" t="inlineStr">
        <is>
          <t>TotalPieces</t>
        </is>
      </c>
      <c r="R1" s="1" t="inlineStr">
        <is>
          <t>LayoutWidth</t>
        </is>
      </c>
      <c r="S1" s="1" t="inlineStr">
        <is>
          <t>LayoutHeight</t>
        </is>
      </c>
      <c r="T1" s="1" t="inlineStr">
        <is>
          <t>RemainingWidth</t>
        </is>
      </c>
      <c r="U1" s="1" t="inlineStr">
        <is>
          <t>RemainingHeight</t>
        </is>
      </c>
      <c r="V1" s="1" t="inlineStr">
        <is>
          <t>UtilizationPercent</t>
        </is>
      </c>
      <c r="W1" s="1" t="inlineStr">
        <is>
          <t>WastePercent</t>
        </is>
      </c>
      <c r="X1" s="1" t="inlineStr">
        <is>
          <t>SelectedBestLayout</t>
        </is>
      </c>
      <c r="Y1" s="1" t="inlineStr">
        <is>
          <t>Reason</t>
        </is>
      </c>
      <c r="Z1" s="1" t="inlineStr">
        <is>
          <t>NoOverlapExpected</t>
        </is>
      </c>
      <c r="AA1" s="1" t="inlineStr">
        <is>
          <t>GapRespectedExpected</t>
        </is>
      </c>
      <c r="AB1" s="1" t="inlineStr">
        <is>
          <t>InsideSheetExpected</t>
        </is>
      </c>
      <c r="AC1" s="1" t="inlineStr">
        <is>
          <t>PreviewExportMatchExpected</t>
        </is>
      </c>
      <c r="AD1" s="1" t="inlineStr">
        <is>
          <t>Tolerance</t>
        </is>
      </c>
      <c r="AE1" s="1" t="inlineStr">
        <is>
          <t>Status</t>
        </is>
      </c>
      <c r="AF1" s="1" t="inlineStr">
        <is>
          <t>Notes</t>
        </is>
      </c>
    </row>
    <row r="2">
      <c r="A2" t="inlineStr">
        <is>
          <t>CarryingHandleBox</t>
        </is>
      </c>
      <c r="B2" t="inlineStr">
        <is>
          <t>TC1</t>
        </is>
      </c>
      <c r="C2" t="inlineStr">
        <is>
          <t>S1 Normal</t>
        </is>
      </c>
      <c r="D2" t="n">
        <v>0</v>
      </c>
      <c r="E2" t="inlineStr">
        <is>
          <t>W x H</t>
        </is>
      </c>
      <c r="F2" t="inlineStr">
        <is>
          <t>No</t>
        </is>
      </c>
      <c r="G2" t="inlineStr">
        <is>
          <t>Yes</t>
        </is>
      </c>
      <c r="H2" t="n">
        <v>1000</v>
      </c>
      <c r="I2" t="n">
        <v>700</v>
      </c>
      <c r="J2" t="n">
        <v>1000</v>
      </c>
      <c r="K2" t="n">
        <v>700</v>
      </c>
      <c r="L2" t="n">
        <v>5</v>
      </c>
      <c r="M2" t="n">
        <v>935</v>
      </c>
      <c r="N2" t="n">
        <v>440</v>
      </c>
      <c r="O2" t="n">
        <v>1</v>
      </c>
      <c r="P2" t="n">
        <v>1</v>
      </c>
      <c r="Q2" t="n">
        <v>1</v>
      </c>
      <c r="R2" t="n">
        <v>930</v>
      </c>
      <c r="S2" t="n">
        <v>435</v>
      </c>
      <c r="T2" t="n">
        <v>70</v>
      </c>
      <c r="U2" t="n">
        <v>265</v>
      </c>
      <c r="V2" t="n">
        <v>57.79</v>
      </c>
      <c r="W2" t="n">
        <v>42.21</v>
      </c>
      <c r="X2" t="inlineStr">
        <is>
          <t>Yes</t>
        </is>
      </c>
      <c r="Y2" t="inlineStr">
        <is>
          <t>Best across S1..S4 (argmax pieces-&gt;util-&gt;-waste)</t>
        </is>
      </c>
      <c r="Z2" t="b">
        <v>1</v>
      </c>
      <c r="AA2" t="b">
        <v>1</v>
      </c>
      <c r="AB2" t="b">
        <v>1</v>
      </c>
      <c r="AC2" t="b">
        <v>1</v>
      </c>
      <c r="AD2" t="n">
        <v>0.01</v>
      </c>
      <c r="AE2" t="inlineStr">
        <is>
          <t>Confirmed</t>
        </is>
      </c>
    </row>
    <row r="3">
      <c r="A3" t="inlineStr">
        <is>
          <t>CarryingHandleBox</t>
        </is>
      </c>
      <c r="B3" t="inlineStr">
        <is>
          <t>TC1</t>
        </is>
      </c>
      <c r="C3" t="inlineStr">
        <is>
          <t>S2 Rotated</t>
        </is>
      </c>
      <c r="D3" t="n">
        <v>90</v>
      </c>
      <c r="E3" t="inlineStr">
        <is>
          <t>W x H</t>
        </is>
      </c>
      <c r="F3" t="inlineStr">
        <is>
          <t>No</t>
        </is>
      </c>
      <c r="G3" t="inlineStr">
        <is>
          <t>Yes</t>
        </is>
      </c>
      <c r="H3" t="n">
        <v>1000</v>
      </c>
      <c r="I3" t="n">
        <v>700</v>
      </c>
      <c r="J3" t="n">
        <v>1000</v>
      </c>
      <c r="K3" t="n">
        <v>700</v>
      </c>
      <c r="L3" t="n">
        <v>5</v>
      </c>
      <c r="M3" t="n">
        <v>440</v>
      </c>
      <c r="N3" t="n">
        <v>935</v>
      </c>
      <c r="O3" t="n">
        <v>2</v>
      </c>
      <c r="P3" t="n">
        <v>0</v>
      </c>
      <c r="Q3" t="n">
        <v>0</v>
      </c>
      <c r="R3" t="n">
        <v>875</v>
      </c>
      <c r="S3" t="n">
        <v>0</v>
      </c>
      <c r="T3" t="n">
        <v>125</v>
      </c>
      <c r="U3" t="n">
        <v>700</v>
      </c>
      <c r="V3" t="n">
        <v>0</v>
      </c>
      <c r="W3" t="n">
        <v>100</v>
      </c>
      <c r="X3" t="inlineStr">
        <is>
          <t>No</t>
        </is>
      </c>
      <c r="Y3" t="inlineStr">
        <is>
          <t>Not optimal</t>
        </is>
      </c>
      <c r="Z3" t="b">
        <v>1</v>
      </c>
      <c r="AA3" t="b">
        <v>1</v>
      </c>
      <c r="AB3" t="b">
        <v>1</v>
      </c>
      <c r="AC3" t="b">
        <v>1</v>
      </c>
      <c r="AD3" t="n">
        <v>0.01</v>
      </c>
      <c r="AE3" t="inlineStr">
        <is>
          <t>Confirmed</t>
        </is>
      </c>
    </row>
    <row r="4">
      <c r="A4" t="inlineStr">
        <is>
          <t>CarryingHandleBox</t>
        </is>
      </c>
      <c r="B4" t="inlineStr">
        <is>
          <t>TC1</t>
        </is>
      </c>
      <c r="C4" t="inlineStr">
        <is>
          <t>S3 Sheet Flip - Normal</t>
        </is>
      </c>
      <c r="D4" t="n">
        <v>0</v>
      </c>
      <c r="E4" t="inlineStr">
        <is>
          <t>H x W</t>
        </is>
      </c>
      <c r="F4" t="inlineStr">
        <is>
          <t>No</t>
        </is>
      </c>
      <c r="G4" t="inlineStr">
        <is>
          <t>Yes</t>
        </is>
      </c>
      <c r="H4" t="n">
        <v>1000</v>
      </c>
      <c r="I4" t="n">
        <v>700</v>
      </c>
      <c r="J4" t="n">
        <v>700</v>
      </c>
      <c r="K4" t="n">
        <v>1000</v>
      </c>
      <c r="L4" t="n">
        <v>5</v>
      </c>
      <c r="M4" t="n">
        <v>935</v>
      </c>
      <c r="N4" t="n">
        <v>440</v>
      </c>
      <c r="O4" t="n">
        <v>0</v>
      </c>
      <c r="P4" t="n">
        <v>2</v>
      </c>
      <c r="Q4" t="n">
        <v>0</v>
      </c>
      <c r="R4" t="n">
        <v>0</v>
      </c>
      <c r="S4" t="n">
        <v>875</v>
      </c>
      <c r="T4" t="n">
        <v>700</v>
      </c>
      <c r="U4" t="n">
        <v>125</v>
      </c>
      <c r="V4" t="n">
        <v>0</v>
      </c>
      <c r="W4" t="n">
        <v>100</v>
      </c>
      <c r="X4" t="inlineStr">
        <is>
          <t>No</t>
        </is>
      </c>
      <c r="Y4" t="inlineStr">
        <is>
          <t>Not optimal</t>
        </is>
      </c>
      <c r="Z4" t="b">
        <v>1</v>
      </c>
      <c r="AA4" t="b">
        <v>1</v>
      </c>
      <c r="AB4" t="b">
        <v>1</v>
      </c>
      <c r="AC4" t="b">
        <v>1</v>
      </c>
      <c r="AD4" t="n">
        <v>0.01</v>
      </c>
      <c r="AE4" t="inlineStr">
        <is>
          <t>Confirmed</t>
        </is>
      </c>
    </row>
    <row r="5">
      <c r="A5" t="inlineStr">
        <is>
          <t>CarryingHandleBox</t>
        </is>
      </c>
      <c r="B5" t="inlineStr">
        <is>
          <t>TC1</t>
        </is>
      </c>
      <c r="C5" t="inlineStr">
        <is>
          <t>S4 Sheet Flip - Rotated</t>
        </is>
      </c>
      <c r="D5" t="n">
        <v>90</v>
      </c>
      <c r="E5" t="inlineStr">
        <is>
          <t>H x W</t>
        </is>
      </c>
      <c r="F5" t="inlineStr">
        <is>
          <t>No</t>
        </is>
      </c>
      <c r="G5" t="inlineStr">
        <is>
          <t>Yes</t>
        </is>
      </c>
      <c r="H5" t="n">
        <v>1000</v>
      </c>
      <c r="I5" t="n">
        <v>700</v>
      </c>
      <c r="J5" t="n">
        <v>700</v>
      </c>
      <c r="K5" t="n">
        <v>1000</v>
      </c>
      <c r="L5" t="n">
        <v>5</v>
      </c>
      <c r="M5" t="n">
        <v>440</v>
      </c>
      <c r="N5" t="n">
        <v>935</v>
      </c>
      <c r="O5" t="n">
        <v>1</v>
      </c>
      <c r="P5" t="n">
        <v>1</v>
      </c>
      <c r="Q5" t="n">
        <v>1</v>
      </c>
      <c r="R5" t="n">
        <v>435</v>
      </c>
      <c r="S5" t="n">
        <v>930</v>
      </c>
      <c r="T5" t="n">
        <v>265</v>
      </c>
      <c r="U5" t="n">
        <v>70</v>
      </c>
      <c r="V5" t="n">
        <v>57.79</v>
      </c>
      <c r="W5" t="n">
        <v>42.21</v>
      </c>
      <c r="X5" t="inlineStr">
        <is>
          <t>No</t>
        </is>
      </c>
      <c r="Y5" t="inlineStr">
        <is>
          <t>Not optimal</t>
        </is>
      </c>
      <c r="Z5" t="b">
        <v>1</v>
      </c>
      <c r="AA5" t="b">
        <v>1</v>
      </c>
      <c r="AB5" t="b">
        <v>1</v>
      </c>
      <c r="AC5" t="b">
        <v>1</v>
      </c>
      <c r="AD5" t="n">
        <v>0.01</v>
      </c>
      <c r="AE5" t="inlineStr">
        <is>
          <t>Confirmed</t>
        </is>
      </c>
    </row>
    <row r="6">
      <c r="A6" s="4" t="inlineStr">
        <is>
          <t>CarryingHandleBox</t>
        </is>
      </c>
      <c r="B6" s="4" t="inlineStr">
        <is>
          <t>TC1</t>
        </is>
      </c>
      <c r="C6" s="4" t="inlineStr">
        <is>
          <t>S5 Mixed Rotation</t>
        </is>
      </c>
      <c r="D6" s="4" t="inlineStr">
        <is>
          <t>0+90</t>
        </is>
      </c>
      <c r="E6" s="4" t="inlineStr">
        <is>
          <t>W x H</t>
        </is>
      </c>
      <c r="F6" s="4" t="inlineStr">
        <is>
          <t>Yes</t>
        </is>
      </c>
      <c r="G6" s="4" t="inlineStr">
        <is>
          <t>Future</t>
        </is>
      </c>
      <c r="H6" s="4" t="n">
        <v>1000</v>
      </c>
      <c r="I6" s="4" t="n">
        <v>700</v>
      </c>
      <c r="J6" s="4" t="inlineStr">
        <is>
          <t>-</t>
        </is>
      </c>
      <c r="K6" s="4" t="inlineStr">
        <is>
          <t>-</t>
        </is>
      </c>
      <c r="L6" s="4" t="n">
        <v>5</v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No</t>
        </is>
      </c>
      <c r="Y6" s="4" t="inlineStr">
        <is>
          <t>Future Engine — not evaluated today</t>
        </is>
      </c>
      <c r="Z6" s="4" t="b">
        <v>1</v>
      </c>
      <c r="AA6" s="4" t="b">
        <v>1</v>
      </c>
      <c r="AB6" s="4" t="b">
        <v>1</v>
      </c>
      <c r="AC6" s="4" t="b">
        <v>1</v>
      </c>
      <c r="AD6" s="4" t="n">
        <v>0.01</v>
      </c>
      <c r="AE6" s="4" t="inlineStr">
        <is>
          <t>Future</t>
        </is>
      </c>
      <c r="AF6" s="4" t="inlineStr">
        <is>
          <t>S5/S6 Future Engine; not failure conditions</t>
        </is>
      </c>
    </row>
    <row r="7">
      <c r="A7" s="4" t="inlineStr">
        <is>
          <t>CarryingHandleBox</t>
        </is>
      </c>
      <c r="B7" s="4" t="inlineStr">
        <is>
          <t>TC1</t>
        </is>
      </c>
      <c r="C7" s="4" t="inlineStr">
        <is>
          <t>S6 Mixed + Sheet Flip</t>
        </is>
      </c>
      <c r="D7" s="4" t="inlineStr">
        <is>
          <t>0+90</t>
        </is>
      </c>
      <c r="E7" s="4" t="inlineStr">
        <is>
          <t>H x W</t>
        </is>
      </c>
      <c r="F7" s="4" t="inlineStr">
        <is>
          <t>Yes</t>
        </is>
      </c>
      <c r="G7" s="4" t="inlineStr">
        <is>
          <t>Future</t>
        </is>
      </c>
      <c r="H7" s="4" t="n">
        <v>700</v>
      </c>
      <c r="I7" s="4" t="n">
        <v>1000</v>
      </c>
      <c r="J7" s="4" t="inlineStr">
        <is>
          <t>-</t>
        </is>
      </c>
      <c r="K7" s="4" t="inlineStr">
        <is>
          <t>-</t>
        </is>
      </c>
      <c r="L7" s="4" t="n">
        <v>5</v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No</t>
        </is>
      </c>
      <c r="Y7" s="4" t="inlineStr">
        <is>
          <t>Future Engine — not evaluated today</t>
        </is>
      </c>
      <c r="Z7" s="4" t="b">
        <v>1</v>
      </c>
      <c r="AA7" s="4" t="b">
        <v>1</v>
      </c>
      <c r="AB7" s="4" t="b">
        <v>1</v>
      </c>
      <c r="AC7" s="4" t="b">
        <v>1</v>
      </c>
      <c r="AD7" s="4" t="n">
        <v>0.01</v>
      </c>
      <c r="AE7" s="4" t="inlineStr">
        <is>
          <t>Future</t>
        </is>
      </c>
      <c r="AF7" s="4" t="inlineStr">
        <is>
          <t>S5/S6 Future Engine; not failure conditions</t>
        </is>
      </c>
    </row>
    <row r="8">
      <c r="A8" t="inlineStr">
        <is>
          <t>CarryingHandleBox</t>
        </is>
      </c>
      <c r="B8" t="inlineStr">
        <is>
          <t>TC2</t>
        </is>
      </c>
      <c r="C8" t="inlineStr">
        <is>
          <t>S1 Normal</t>
        </is>
      </c>
      <c r="D8" t="n">
        <v>0</v>
      </c>
      <c r="E8" t="inlineStr">
        <is>
          <t>W x H</t>
        </is>
      </c>
      <c r="F8" t="inlineStr">
        <is>
          <t>No</t>
        </is>
      </c>
      <c r="G8" t="inlineStr">
        <is>
          <t>Yes</t>
        </is>
      </c>
      <c r="H8" t="n">
        <v>1000</v>
      </c>
      <c r="I8" t="n">
        <v>700</v>
      </c>
      <c r="J8" t="n">
        <v>1000</v>
      </c>
      <c r="K8" t="n">
        <v>700</v>
      </c>
      <c r="L8" t="n">
        <v>5</v>
      </c>
      <c r="M8" t="n">
        <v>995</v>
      </c>
      <c r="N8" t="n">
        <v>447</v>
      </c>
      <c r="O8" t="n">
        <v>1</v>
      </c>
      <c r="P8" t="n">
        <v>1</v>
      </c>
      <c r="Q8" t="n">
        <v>1</v>
      </c>
      <c r="R8" t="n">
        <v>990</v>
      </c>
      <c r="S8" t="n">
        <v>442</v>
      </c>
      <c r="T8" t="n">
        <v>10</v>
      </c>
      <c r="U8" t="n">
        <v>258</v>
      </c>
      <c r="V8" t="n">
        <v>62.51</v>
      </c>
      <c r="W8" t="n">
        <v>37.49</v>
      </c>
      <c r="X8" t="inlineStr">
        <is>
          <t>Yes</t>
        </is>
      </c>
      <c r="Y8" t="inlineStr">
        <is>
          <t>Best across S1..S4 (argmax pieces-&gt;util-&gt;-waste)</t>
        </is>
      </c>
      <c r="Z8" t="b">
        <v>1</v>
      </c>
      <c r="AA8" t="b">
        <v>1</v>
      </c>
      <c r="AB8" t="b">
        <v>1</v>
      </c>
      <c r="AC8" t="b">
        <v>1</v>
      </c>
      <c r="AD8" t="n">
        <v>0.01</v>
      </c>
      <c r="AE8" t="inlineStr">
        <is>
          <t>Confirmed</t>
        </is>
      </c>
    </row>
    <row r="9">
      <c r="A9" t="inlineStr">
        <is>
          <t>CarryingHandleBox</t>
        </is>
      </c>
      <c r="B9" t="inlineStr">
        <is>
          <t>TC2</t>
        </is>
      </c>
      <c r="C9" t="inlineStr">
        <is>
          <t>S2 Rotated</t>
        </is>
      </c>
      <c r="D9" t="n">
        <v>90</v>
      </c>
      <c r="E9" t="inlineStr">
        <is>
          <t>W x H</t>
        </is>
      </c>
      <c r="F9" t="inlineStr">
        <is>
          <t>No</t>
        </is>
      </c>
      <c r="G9" t="inlineStr">
        <is>
          <t>Yes</t>
        </is>
      </c>
      <c r="H9" t="n">
        <v>1000</v>
      </c>
      <c r="I9" t="n">
        <v>700</v>
      </c>
      <c r="J9" t="n">
        <v>1000</v>
      </c>
      <c r="K9" t="n">
        <v>700</v>
      </c>
      <c r="L9" t="n">
        <v>5</v>
      </c>
      <c r="M9" t="n">
        <v>447</v>
      </c>
      <c r="N9" t="n">
        <v>995</v>
      </c>
      <c r="O9" t="n">
        <v>2</v>
      </c>
      <c r="P9" t="n">
        <v>0</v>
      </c>
      <c r="Q9" t="n">
        <v>0</v>
      </c>
      <c r="R9" t="n">
        <v>889</v>
      </c>
      <c r="S9" t="n">
        <v>0</v>
      </c>
      <c r="T9" t="n">
        <v>111</v>
      </c>
      <c r="U9" t="n">
        <v>700</v>
      </c>
      <c r="V9" t="n">
        <v>0</v>
      </c>
      <c r="W9" t="n">
        <v>100</v>
      </c>
      <c r="X9" t="inlineStr">
        <is>
          <t>No</t>
        </is>
      </c>
      <c r="Y9" t="inlineStr">
        <is>
          <t>Not optimal</t>
        </is>
      </c>
      <c r="Z9" t="b">
        <v>1</v>
      </c>
      <c r="AA9" t="b">
        <v>1</v>
      </c>
      <c r="AB9" t="b">
        <v>1</v>
      </c>
      <c r="AC9" t="b">
        <v>1</v>
      </c>
      <c r="AD9" t="n">
        <v>0.01</v>
      </c>
      <c r="AE9" t="inlineStr">
        <is>
          <t>Confirmed</t>
        </is>
      </c>
    </row>
    <row r="10">
      <c r="A10" t="inlineStr">
        <is>
          <t>CarryingHandleBox</t>
        </is>
      </c>
      <c r="B10" t="inlineStr">
        <is>
          <t>TC2</t>
        </is>
      </c>
      <c r="C10" t="inlineStr">
        <is>
          <t>S3 Sheet Flip - Normal</t>
        </is>
      </c>
      <c r="D10" t="n">
        <v>0</v>
      </c>
      <c r="E10" t="inlineStr">
        <is>
          <t>H x W</t>
        </is>
      </c>
      <c r="F10" t="inlineStr">
        <is>
          <t>No</t>
        </is>
      </c>
      <c r="G10" t="inlineStr">
        <is>
          <t>Yes</t>
        </is>
      </c>
      <c r="H10" t="n">
        <v>1000</v>
      </c>
      <c r="I10" t="n">
        <v>700</v>
      </c>
      <c r="J10" t="n">
        <v>700</v>
      </c>
      <c r="K10" t="n">
        <v>1000</v>
      </c>
      <c r="L10" t="n">
        <v>5</v>
      </c>
      <c r="M10" t="n">
        <v>995</v>
      </c>
      <c r="N10" t="n">
        <v>447</v>
      </c>
      <c r="O10" t="n">
        <v>0</v>
      </c>
      <c r="P10" t="n">
        <v>2</v>
      </c>
      <c r="Q10" t="n">
        <v>0</v>
      </c>
      <c r="R10" t="n">
        <v>0</v>
      </c>
      <c r="S10" t="n">
        <v>889</v>
      </c>
      <c r="T10" t="n">
        <v>700</v>
      </c>
      <c r="U10" t="n">
        <v>111</v>
      </c>
      <c r="V10" t="n">
        <v>0</v>
      </c>
      <c r="W10" t="n">
        <v>100</v>
      </c>
      <c r="X10" t="inlineStr">
        <is>
          <t>No</t>
        </is>
      </c>
      <c r="Y10" t="inlineStr">
        <is>
          <t>Not optimal</t>
        </is>
      </c>
      <c r="Z10" t="b">
        <v>1</v>
      </c>
      <c r="AA10" t="b">
        <v>1</v>
      </c>
      <c r="AB10" t="b">
        <v>1</v>
      </c>
      <c r="AC10" t="b">
        <v>1</v>
      </c>
      <c r="AD10" t="n">
        <v>0.01</v>
      </c>
      <c r="AE10" t="inlineStr">
        <is>
          <t>Confirmed</t>
        </is>
      </c>
    </row>
    <row r="11">
      <c r="A11" t="inlineStr">
        <is>
          <t>CarryingHandleBox</t>
        </is>
      </c>
      <c r="B11" t="inlineStr">
        <is>
          <t>TC2</t>
        </is>
      </c>
      <c r="C11" t="inlineStr">
        <is>
          <t>S4 Sheet Flip - Rotated</t>
        </is>
      </c>
      <c r="D11" t="n">
        <v>90</v>
      </c>
      <c r="E11" t="inlineStr">
        <is>
          <t>H x W</t>
        </is>
      </c>
      <c r="F11" t="inlineStr">
        <is>
          <t>No</t>
        </is>
      </c>
      <c r="G11" t="inlineStr">
        <is>
          <t>Yes</t>
        </is>
      </c>
      <c r="H11" t="n">
        <v>1000</v>
      </c>
      <c r="I11" t="n">
        <v>700</v>
      </c>
      <c r="J11" t="n">
        <v>700</v>
      </c>
      <c r="K11" t="n">
        <v>1000</v>
      </c>
      <c r="L11" t="n">
        <v>5</v>
      </c>
      <c r="M11" t="n">
        <v>447</v>
      </c>
      <c r="N11" t="n">
        <v>995</v>
      </c>
      <c r="O11" t="n">
        <v>1</v>
      </c>
      <c r="P11" t="n">
        <v>1</v>
      </c>
      <c r="Q11" t="n">
        <v>1</v>
      </c>
      <c r="R11" t="n">
        <v>442</v>
      </c>
      <c r="S11" t="n">
        <v>990</v>
      </c>
      <c r="T11" t="n">
        <v>258</v>
      </c>
      <c r="U11" t="n">
        <v>10</v>
      </c>
      <c r="V11" t="n">
        <v>62.51</v>
      </c>
      <c r="W11" t="n">
        <v>37.49</v>
      </c>
      <c r="X11" t="inlineStr">
        <is>
          <t>No</t>
        </is>
      </c>
      <c r="Y11" t="inlineStr">
        <is>
          <t>Not optimal</t>
        </is>
      </c>
      <c r="Z11" t="b">
        <v>1</v>
      </c>
      <c r="AA11" t="b">
        <v>1</v>
      </c>
      <c r="AB11" t="b">
        <v>1</v>
      </c>
      <c r="AC11" t="b">
        <v>1</v>
      </c>
      <c r="AD11" t="n">
        <v>0.01</v>
      </c>
      <c r="AE11" t="inlineStr">
        <is>
          <t>Confirmed</t>
        </is>
      </c>
    </row>
    <row r="12">
      <c r="A12" s="4" t="inlineStr">
        <is>
          <t>CarryingHandleBox</t>
        </is>
      </c>
      <c r="B12" s="4" t="inlineStr">
        <is>
          <t>TC2</t>
        </is>
      </c>
      <c r="C12" s="4" t="inlineStr">
        <is>
          <t>S5 Mixed Rotation</t>
        </is>
      </c>
      <c r="D12" s="4" t="inlineStr">
        <is>
          <t>0+90</t>
        </is>
      </c>
      <c r="E12" s="4" t="inlineStr">
        <is>
          <t>W x H</t>
        </is>
      </c>
      <c r="F12" s="4" t="inlineStr">
        <is>
          <t>Yes</t>
        </is>
      </c>
      <c r="G12" s="4" t="inlineStr">
        <is>
          <t>Future</t>
        </is>
      </c>
      <c r="H12" s="4" t="n">
        <v>1000</v>
      </c>
      <c r="I12" s="4" t="n">
        <v>700</v>
      </c>
      <c r="J12" s="4" t="inlineStr">
        <is>
          <t>-</t>
        </is>
      </c>
      <c r="K12" s="4" t="inlineStr">
        <is>
          <t>-</t>
        </is>
      </c>
      <c r="L12" s="4" t="n">
        <v>5</v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No</t>
        </is>
      </c>
      <c r="Y12" s="4" t="inlineStr">
        <is>
          <t>Future Engine — not evaluated today</t>
        </is>
      </c>
      <c r="Z12" s="4" t="b">
        <v>1</v>
      </c>
      <c r="AA12" s="4" t="b">
        <v>1</v>
      </c>
      <c r="AB12" s="4" t="b">
        <v>1</v>
      </c>
      <c r="AC12" s="4" t="b">
        <v>1</v>
      </c>
      <c r="AD12" s="4" t="n">
        <v>0.01</v>
      </c>
      <c r="AE12" s="4" t="inlineStr">
        <is>
          <t>Future</t>
        </is>
      </c>
      <c r="AF12" s="4" t="inlineStr">
        <is>
          <t>S5/S6 Future Engine; not failure conditions</t>
        </is>
      </c>
    </row>
    <row r="13">
      <c r="A13" s="4" t="inlineStr">
        <is>
          <t>CarryingHandleBox</t>
        </is>
      </c>
      <c r="B13" s="4" t="inlineStr">
        <is>
          <t>TC2</t>
        </is>
      </c>
      <c r="C13" s="4" t="inlineStr">
        <is>
          <t>S6 Mixed + Sheet Flip</t>
        </is>
      </c>
      <c r="D13" s="4" t="inlineStr">
        <is>
          <t>0+90</t>
        </is>
      </c>
      <c r="E13" s="4" t="inlineStr">
        <is>
          <t>H x W</t>
        </is>
      </c>
      <c r="F13" s="4" t="inlineStr">
        <is>
          <t>Yes</t>
        </is>
      </c>
      <c r="G13" s="4" t="inlineStr">
        <is>
          <t>Future</t>
        </is>
      </c>
      <c r="H13" s="4" t="n">
        <v>700</v>
      </c>
      <c r="I13" s="4" t="n">
        <v>1000</v>
      </c>
      <c r="J13" s="4" t="inlineStr">
        <is>
          <t>-</t>
        </is>
      </c>
      <c r="K13" s="4" t="inlineStr">
        <is>
          <t>-</t>
        </is>
      </c>
      <c r="L13" s="4" t="n">
        <v>5</v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No</t>
        </is>
      </c>
      <c r="Y13" s="4" t="inlineStr">
        <is>
          <t>Future Engine — not evaluated today</t>
        </is>
      </c>
      <c r="Z13" s="4" t="b">
        <v>1</v>
      </c>
      <c r="AA13" s="4" t="b">
        <v>1</v>
      </c>
      <c r="AB13" s="4" t="b">
        <v>1</v>
      </c>
      <c r="AC13" s="4" t="b">
        <v>1</v>
      </c>
      <c r="AD13" s="4" t="n">
        <v>0.01</v>
      </c>
      <c r="AE13" s="4" t="inlineStr">
        <is>
          <t>Future</t>
        </is>
      </c>
      <c r="AF13" s="4" t="inlineStr">
        <is>
          <t>S5/S6 Future Engine; not failure conditions</t>
        </is>
      </c>
    </row>
    <row r="14">
      <c r="A14" t="inlineStr">
        <is>
          <t>CarryingHandleBox</t>
        </is>
      </c>
      <c r="B14" t="inlineStr">
        <is>
          <t>TC3</t>
        </is>
      </c>
      <c r="C14" t="inlineStr">
        <is>
          <t>S1 Normal</t>
        </is>
      </c>
      <c r="D14" t="n">
        <v>0</v>
      </c>
      <c r="E14" t="inlineStr">
        <is>
          <t>W x H</t>
        </is>
      </c>
      <c r="F14" t="inlineStr">
        <is>
          <t>No</t>
        </is>
      </c>
      <c r="G14" t="inlineStr">
        <is>
          <t>Yes</t>
        </is>
      </c>
      <c r="H14" t="n">
        <v>1000</v>
      </c>
      <c r="I14" t="n">
        <v>700</v>
      </c>
      <c r="J14" t="n">
        <v>1000</v>
      </c>
      <c r="K14" t="n">
        <v>700</v>
      </c>
      <c r="L14" t="n">
        <v>5</v>
      </c>
      <c r="M14" t="n">
        <v>905</v>
      </c>
      <c r="N14" t="n">
        <v>438.5</v>
      </c>
      <c r="O14" t="n">
        <v>1</v>
      </c>
      <c r="P14" t="n">
        <v>1</v>
      </c>
      <c r="Q14" t="n">
        <v>1</v>
      </c>
      <c r="R14" t="n">
        <v>900</v>
      </c>
      <c r="S14" t="n">
        <v>433.5</v>
      </c>
      <c r="T14" t="n">
        <v>100</v>
      </c>
      <c r="U14" t="n">
        <v>266.5</v>
      </c>
      <c r="V14" t="n">
        <v>55.74</v>
      </c>
      <c r="W14" t="n">
        <v>44.26</v>
      </c>
      <c r="X14" t="inlineStr">
        <is>
          <t>Yes</t>
        </is>
      </c>
      <c r="Y14" t="inlineStr">
        <is>
          <t>Best across S1..S4 (argmax pieces-&gt;util-&gt;-waste)</t>
        </is>
      </c>
      <c r="Z14" t="b">
        <v>1</v>
      </c>
      <c r="AA14" t="b">
        <v>1</v>
      </c>
      <c r="AB14" t="b">
        <v>1</v>
      </c>
      <c r="AC14" t="b">
        <v>1</v>
      </c>
      <c r="AD14" t="n">
        <v>0.01</v>
      </c>
      <c r="AE14" t="inlineStr">
        <is>
          <t>Confirmed</t>
        </is>
      </c>
    </row>
    <row r="15">
      <c r="A15" t="inlineStr">
        <is>
          <t>CarryingHandleBox</t>
        </is>
      </c>
      <c r="B15" t="inlineStr">
        <is>
          <t>TC3</t>
        </is>
      </c>
      <c r="C15" t="inlineStr">
        <is>
          <t>S2 Rotated</t>
        </is>
      </c>
      <c r="D15" t="n">
        <v>90</v>
      </c>
      <c r="E15" t="inlineStr">
        <is>
          <t>W x H</t>
        </is>
      </c>
      <c r="F15" t="inlineStr">
        <is>
          <t>No</t>
        </is>
      </c>
      <c r="G15" t="inlineStr">
        <is>
          <t>Yes</t>
        </is>
      </c>
      <c r="H15" t="n">
        <v>1000</v>
      </c>
      <c r="I15" t="n">
        <v>700</v>
      </c>
      <c r="J15" t="n">
        <v>1000</v>
      </c>
      <c r="K15" t="n">
        <v>700</v>
      </c>
      <c r="L15" t="n">
        <v>5</v>
      </c>
      <c r="M15" t="n">
        <v>438.5</v>
      </c>
      <c r="N15" t="n">
        <v>905</v>
      </c>
      <c r="O15" t="n">
        <v>2</v>
      </c>
      <c r="P15" t="n">
        <v>0</v>
      </c>
      <c r="Q15" t="n">
        <v>0</v>
      </c>
      <c r="R15" t="n">
        <v>872</v>
      </c>
      <c r="S15" t="n">
        <v>0</v>
      </c>
      <c r="T15" t="n">
        <v>128</v>
      </c>
      <c r="U15" t="n">
        <v>700</v>
      </c>
      <c r="V15" t="n">
        <v>0</v>
      </c>
      <c r="W15" t="n">
        <v>100</v>
      </c>
      <c r="X15" t="inlineStr">
        <is>
          <t>No</t>
        </is>
      </c>
      <c r="Y15" t="inlineStr">
        <is>
          <t>Not optimal</t>
        </is>
      </c>
      <c r="Z15" t="b">
        <v>1</v>
      </c>
      <c r="AA15" t="b">
        <v>1</v>
      </c>
      <c r="AB15" t="b">
        <v>1</v>
      </c>
      <c r="AC15" t="b">
        <v>1</v>
      </c>
      <c r="AD15" t="n">
        <v>0.01</v>
      </c>
      <c r="AE15" t="inlineStr">
        <is>
          <t>Confirmed</t>
        </is>
      </c>
    </row>
    <row r="16">
      <c r="A16" t="inlineStr">
        <is>
          <t>CarryingHandleBox</t>
        </is>
      </c>
      <c r="B16" t="inlineStr">
        <is>
          <t>TC3</t>
        </is>
      </c>
      <c r="C16" t="inlineStr">
        <is>
          <t>S3 Sheet Flip - Normal</t>
        </is>
      </c>
      <c r="D16" t="n">
        <v>0</v>
      </c>
      <c r="E16" t="inlineStr">
        <is>
          <t>H x W</t>
        </is>
      </c>
      <c r="F16" t="inlineStr">
        <is>
          <t>No</t>
        </is>
      </c>
      <c r="G16" t="inlineStr">
        <is>
          <t>Yes</t>
        </is>
      </c>
      <c r="H16" t="n">
        <v>1000</v>
      </c>
      <c r="I16" t="n">
        <v>700</v>
      </c>
      <c r="J16" t="n">
        <v>700</v>
      </c>
      <c r="K16" t="n">
        <v>1000</v>
      </c>
      <c r="L16" t="n">
        <v>5</v>
      </c>
      <c r="M16" t="n">
        <v>905</v>
      </c>
      <c r="N16" t="n">
        <v>438.5</v>
      </c>
      <c r="O16" t="n">
        <v>0</v>
      </c>
      <c r="P16" t="n">
        <v>2</v>
      </c>
      <c r="Q16" t="n">
        <v>0</v>
      </c>
      <c r="R16" t="n">
        <v>0</v>
      </c>
      <c r="S16" t="n">
        <v>872</v>
      </c>
      <c r="T16" t="n">
        <v>700</v>
      </c>
      <c r="U16" t="n">
        <v>128</v>
      </c>
      <c r="V16" t="n">
        <v>0</v>
      </c>
      <c r="W16" t="n">
        <v>100</v>
      </c>
      <c r="X16" t="inlineStr">
        <is>
          <t>No</t>
        </is>
      </c>
      <c r="Y16" t="inlineStr">
        <is>
          <t>Not optimal</t>
        </is>
      </c>
      <c r="Z16" t="b">
        <v>1</v>
      </c>
      <c r="AA16" t="b">
        <v>1</v>
      </c>
      <c r="AB16" t="b">
        <v>1</v>
      </c>
      <c r="AC16" t="b">
        <v>1</v>
      </c>
      <c r="AD16" t="n">
        <v>0.01</v>
      </c>
      <c r="AE16" t="inlineStr">
        <is>
          <t>Confirmed</t>
        </is>
      </c>
    </row>
    <row r="17">
      <c r="A17" t="inlineStr">
        <is>
          <t>CarryingHandleBox</t>
        </is>
      </c>
      <c r="B17" t="inlineStr">
        <is>
          <t>TC3</t>
        </is>
      </c>
      <c r="C17" t="inlineStr">
        <is>
          <t>S4 Sheet Flip - Rotated</t>
        </is>
      </c>
      <c r="D17" t="n">
        <v>90</v>
      </c>
      <c r="E17" t="inlineStr">
        <is>
          <t>H x W</t>
        </is>
      </c>
      <c r="F17" t="inlineStr">
        <is>
          <t>No</t>
        </is>
      </c>
      <c r="G17" t="inlineStr">
        <is>
          <t>Yes</t>
        </is>
      </c>
      <c r="H17" t="n">
        <v>1000</v>
      </c>
      <c r="I17" t="n">
        <v>700</v>
      </c>
      <c r="J17" t="n">
        <v>700</v>
      </c>
      <c r="K17" t="n">
        <v>1000</v>
      </c>
      <c r="L17" t="n">
        <v>5</v>
      </c>
      <c r="M17" t="n">
        <v>438.5</v>
      </c>
      <c r="N17" t="n">
        <v>905</v>
      </c>
      <c r="O17" t="n">
        <v>1</v>
      </c>
      <c r="P17" t="n">
        <v>1</v>
      </c>
      <c r="Q17" t="n">
        <v>1</v>
      </c>
      <c r="R17" t="n">
        <v>433.5</v>
      </c>
      <c r="S17" t="n">
        <v>900</v>
      </c>
      <c r="T17" t="n">
        <v>266.5</v>
      </c>
      <c r="U17" t="n">
        <v>100</v>
      </c>
      <c r="V17" t="n">
        <v>55.74</v>
      </c>
      <c r="W17" t="n">
        <v>44.26</v>
      </c>
      <c r="X17" t="inlineStr">
        <is>
          <t>No</t>
        </is>
      </c>
      <c r="Y17" t="inlineStr">
        <is>
          <t>Not optimal</t>
        </is>
      </c>
      <c r="Z17" t="b">
        <v>1</v>
      </c>
      <c r="AA17" t="b">
        <v>1</v>
      </c>
      <c r="AB17" t="b">
        <v>1</v>
      </c>
      <c r="AC17" t="b">
        <v>1</v>
      </c>
      <c r="AD17" t="n">
        <v>0.01</v>
      </c>
      <c r="AE17" t="inlineStr">
        <is>
          <t>Confirmed</t>
        </is>
      </c>
    </row>
    <row r="18">
      <c r="A18" s="4" t="inlineStr">
        <is>
          <t>CarryingHandleBox</t>
        </is>
      </c>
      <c r="B18" s="4" t="inlineStr">
        <is>
          <t>TC3</t>
        </is>
      </c>
      <c r="C18" s="4" t="inlineStr">
        <is>
          <t>S5 Mixed Rotation</t>
        </is>
      </c>
      <c r="D18" s="4" t="inlineStr">
        <is>
          <t>0+90</t>
        </is>
      </c>
      <c r="E18" s="4" t="inlineStr">
        <is>
          <t>W x H</t>
        </is>
      </c>
      <c r="F18" s="4" t="inlineStr">
        <is>
          <t>Yes</t>
        </is>
      </c>
      <c r="G18" s="4" t="inlineStr">
        <is>
          <t>Future</t>
        </is>
      </c>
      <c r="H18" s="4" t="n">
        <v>1000</v>
      </c>
      <c r="I18" s="4" t="n">
        <v>700</v>
      </c>
      <c r="J18" s="4" t="inlineStr">
        <is>
          <t>-</t>
        </is>
      </c>
      <c r="K18" s="4" t="inlineStr">
        <is>
          <t>-</t>
        </is>
      </c>
      <c r="L18" s="4" t="n">
        <v>5</v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No</t>
        </is>
      </c>
      <c r="Y18" s="4" t="inlineStr">
        <is>
          <t>Future Engine — not evaluated today</t>
        </is>
      </c>
      <c r="Z18" s="4" t="b">
        <v>1</v>
      </c>
      <c r="AA18" s="4" t="b">
        <v>1</v>
      </c>
      <c r="AB18" s="4" t="b">
        <v>1</v>
      </c>
      <c r="AC18" s="4" t="b">
        <v>1</v>
      </c>
      <c r="AD18" s="4" t="n">
        <v>0.01</v>
      </c>
      <c r="AE18" s="4" t="inlineStr">
        <is>
          <t>Future</t>
        </is>
      </c>
      <c r="AF18" s="4" t="inlineStr">
        <is>
          <t>S5/S6 Future Engine; not failure conditions</t>
        </is>
      </c>
    </row>
    <row r="19">
      <c r="A19" s="4" t="inlineStr">
        <is>
          <t>CarryingHandleBox</t>
        </is>
      </c>
      <c r="B19" s="4" t="inlineStr">
        <is>
          <t>TC3</t>
        </is>
      </c>
      <c r="C19" s="4" t="inlineStr">
        <is>
          <t>S6 Mixed + Sheet Flip</t>
        </is>
      </c>
      <c r="D19" s="4" t="inlineStr">
        <is>
          <t>0+90</t>
        </is>
      </c>
      <c r="E19" s="4" t="inlineStr">
        <is>
          <t>H x W</t>
        </is>
      </c>
      <c r="F19" s="4" t="inlineStr">
        <is>
          <t>Yes</t>
        </is>
      </c>
      <c r="G19" s="4" t="inlineStr">
        <is>
          <t>Future</t>
        </is>
      </c>
      <c r="H19" s="4" t="n">
        <v>700</v>
      </c>
      <c r="I19" s="4" t="n">
        <v>1000</v>
      </c>
      <c r="J19" s="4" t="inlineStr">
        <is>
          <t>-</t>
        </is>
      </c>
      <c r="K19" s="4" t="inlineStr">
        <is>
          <t>-</t>
        </is>
      </c>
      <c r="L19" s="4" t="n">
        <v>5</v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No</t>
        </is>
      </c>
      <c r="Y19" s="4" t="inlineStr">
        <is>
          <t>Future Engine — not evaluated today</t>
        </is>
      </c>
      <c r="Z19" s="4" t="b">
        <v>1</v>
      </c>
      <c r="AA19" s="4" t="b">
        <v>1</v>
      </c>
      <c r="AB19" s="4" t="b">
        <v>1</v>
      </c>
      <c r="AC19" s="4" t="b">
        <v>1</v>
      </c>
      <c r="AD19" s="4" t="n">
        <v>0.01</v>
      </c>
      <c r="AE19" s="4" t="inlineStr">
        <is>
          <t>Future</t>
        </is>
      </c>
      <c r="AF19" s="4" t="inlineStr">
        <is>
          <t>S5/S6 Future Engine; not failure conditions</t>
        </is>
      </c>
    </row>
    <row r="20">
      <c r="A20" t="inlineStr">
        <is>
          <t>CarryingHandleBox</t>
        </is>
      </c>
      <c r="B20" t="inlineStr">
        <is>
          <t>TC4</t>
        </is>
      </c>
      <c r="C20" t="inlineStr">
        <is>
          <t>S1 Normal</t>
        </is>
      </c>
      <c r="D20" t="n">
        <v>0</v>
      </c>
      <c r="E20" t="inlineStr">
        <is>
          <t>W x H</t>
        </is>
      </c>
      <c r="F20" t="inlineStr">
        <is>
          <t>No</t>
        </is>
      </c>
      <c r="G20" t="inlineStr">
        <is>
          <t>Yes</t>
        </is>
      </c>
      <c r="H20" t="n">
        <v>1000</v>
      </c>
      <c r="I20" t="n">
        <v>700</v>
      </c>
      <c r="J20" t="n">
        <v>1000</v>
      </c>
      <c r="K20" t="n">
        <v>700</v>
      </c>
      <c r="L20" t="n">
        <v>5</v>
      </c>
      <c r="M20" t="n">
        <v>975</v>
      </c>
      <c r="N20" t="n">
        <v>405</v>
      </c>
      <c r="O20" t="n">
        <v>1</v>
      </c>
      <c r="P20" t="n">
        <v>1</v>
      </c>
      <c r="Q20" t="n">
        <v>1</v>
      </c>
      <c r="R20" t="n">
        <v>970</v>
      </c>
      <c r="S20" t="n">
        <v>400</v>
      </c>
      <c r="T20" t="n">
        <v>30</v>
      </c>
      <c r="U20" t="n">
        <v>300</v>
      </c>
      <c r="V20" t="n">
        <v>55.43</v>
      </c>
      <c r="W20" t="n">
        <v>44.57</v>
      </c>
      <c r="X20" t="inlineStr">
        <is>
          <t>Yes</t>
        </is>
      </c>
      <c r="Y20" t="inlineStr">
        <is>
          <t>Best across S1..S4 (argmax pieces-&gt;util-&gt;-waste)</t>
        </is>
      </c>
      <c r="Z20" t="b">
        <v>1</v>
      </c>
      <c r="AA20" t="b">
        <v>1</v>
      </c>
      <c r="AB20" t="b">
        <v>1</v>
      </c>
      <c r="AC20" t="b">
        <v>1</v>
      </c>
      <c r="AD20" t="n">
        <v>0.01</v>
      </c>
      <c r="AE20" t="inlineStr">
        <is>
          <t>Confirmed</t>
        </is>
      </c>
    </row>
    <row r="21">
      <c r="A21" t="inlineStr">
        <is>
          <t>CarryingHandleBox</t>
        </is>
      </c>
      <c r="B21" t="inlineStr">
        <is>
          <t>TC4</t>
        </is>
      </c>
      <c r="C21" t="inlineStr">
        <is>
          <t>S2 Rotated</t>
        </is>
      </c>
      <c r="D21" t="n">
        <v>90</v>
      </c>
      <c r="E21" t="inlineStr">
        <is>
          <t>W x H</t>
        </is>
      </c>
      <c r="F21" t="inlineStr">
        <is>
          <t>No</t>
        </is>
      </c>
      <c r="G21" t="inlineStr">
        <is>
          <t>Yes</t>
        </is>
      </c>
      <c r="H21" t="n">
        <v>1000</v>
      </c>
      <c r="I21" t="n">
        <v>700</v>
      </c>
      <c r="J21" t="n">
        <v>1000</v>
      </c>
      <c r="K21" t="n">
        <v>700</v>
      </c>
      <c r="L21" t="n">
        <v>5</v>
      </c>
      <c r="M21" t="n">
        <v>405</v>
      </c>
      <c r="N21" t="n">
        <v>975</v>
      </c>
      <c r="O21" t="n">
        <v>2</v>
      </c>
      <c r="P21" t="n">
        <v>0</v>
      </c>
      <c r="Q21" t="n">
        <v>0</v>
      </c>
      <c r="R21" t="n">
        <v>805</v>
      </c>
      <c r="S21" t="n">
        <v>0</v>
      </c>
      <c r="T21" t="n">
        <v>195</v>
      </c>
      <c r="U21" t="n">
        <v>700</v>
      </c>
      <c r="V21" t="n">
        <v>0</v>
      </c>
      <c r="W21" t="n">
        <v>100</v>
      </c>
      <c r="X21" t="inlineStr">
        <is>
          <t>No</t>
        </is>
      </c>
      <c r="Y21" t="inlineStr">
        <is>
          <t>Not optimal</t>
        </is>
      </c>
      <c r="Z21" t="b">
        <v>1</v>
      </c>
      <c r="AA21" t="b">
        <v>1</v>
      </c>
      <c r="AB21" t="b">
        <v>1</v>
      </c>
      <c r="AC21" t="b">
        <v>1</v>
      </c>
      <c r="AD21" t="n">
        <v>0.01</v>
      </c>
      <c r="AE21" t="inlineStr">
        <is>
          <t>Confirmed</t>
        </is>
      </c>
    </row>
    <row r="22">
      <c r="A22" t="inlineStr">
        <is>
          <t>CarryingHandleBox</t>
        </is>
      </c>
      <c r="B22" t="inlineStr">
        <is>
          <t>TC4</t>
        </is>
      </c>
      <c r="C22" t="inlineStr">
        <is>
          <t>S3 Sheet Flip - Normal</t>
        </is>
      </c>
      <c r="D22" t="n">
        <v>0</v>
      </c>
      <c r="E22" t="inlineStr">
        <is>
          <t>H x W</t>
        </is>
      </c>
      <c r="F22" t="inlineStr">
        <is>
          <t>No</t>
        </is>
      </c>
      <c r="G22" t="inlineStr">
        <is>
          <t>Yes</t>
        </is>
      </c>
      <c r="H22" t="n">
        <v>1000</v>
      </c>
      <c r="I22" t="n">
        <v>700</v>
      </c>
      <c r="J22" t="n">
        <v>700</v>
      </c>
      <c r="K22" t="n">
        <v>1000</v>
      </c>
      <c r="L22" t="n">
        <v>5</v>
      </c>
      <c r="M22" t="n">
        <v>975</v>
      </c>
      <c r="N22" t="n">
        <v>405</v>
      </c>
      <c r="O22" t="n">
        <v>0</v>
      </c>
      <c r="P22" t="n">
        <v>2</v>
      </c>
      <c r="Q22" t="n">
        <v>0</v>
      </c>
      <c r="R22" t="n">
        <v>0</v>
      </c>
      <c r="S22" t="n">
        <v>805</v>
      </c>
      <c r="T22" t="n">
        <v>700</v>
      </c>
      <c r="U22" t="n">
        <v>195</v>
      </c>
      <c r="V22" t="n">
        <v>0</v>
      </c>
      <c r="W22" t="n">
        <v>100</v>
      </c>
      <c r="X22" t="inlineStr">
        <is>
          <t>No</t>
        </is>
      </c>
      <c r="Y22" t="inlineStr">
        <is>
          <t>Not optimal</t>
        </is>
      </c>
      <c r="Z22" t="b">
        <v>1</v>
      </c>
      <c r="AA22" t="b">
        <v>1</v>
      </c>
      <c r="AB22" t="b">
        <v>1</v>
      </c>
      <c r="AC22" t="b">
        <v>1</v>
      </c>
      <c r="AD22" t="n">
        <v>0.01</v>
      </c>
      <c r="AE22" t="inlineStr">
        <is>
          <t>Confirmed</t>
        </is>
      </c>
    </row>
    <row r="23">
      <c r="A23" t="inlineStr">
        <is>
          <t>CarryingHandleBox</t>
        </is>
      </c>
      <c r="B23" t="inlineStr">
        <is>
          <t>TC4</t>
        </is>
      </c>
      <c r="C23" t="inlineStr">
        <is>
          <t>S4 Sheet Flip - Rotated</t>
        </is>
      </c>
      <c r="D23" t="n">
        <v>90</v>
      </c>
      <c r="E23" t="inlineStr">
        <is>
          <t>H x W</t>
        </is>
      </c>
      <c r="F23" t="inlineStr">
        <is>
          <t>No</t>
        </is>
      </c>
      <c r="G23" t="inlineStr">
        <is>
          <t>Yes</t>
        </is>
      </c>
      <c r="H23" t="n">
        <v>1000</v>
      </c>
      <c r="I23" t="n">
        <v>700</v>
      </c>
      <c r="J23" t="n">
        <v>700</v>
      </c>
      <c r="K23" t="n">
        <v>1000</v>
      </c>
      <c r="L23" t="n">
        <v>5</v>
      </c>
      <c r="M23" t="n">
        <v>405</v>
      </c>
      <c r="N23" t="n">
        <v>975</v>
      </c>
      <c r="O23" t="n">
        <v>1</v>
      </c>
      <c r="P23" t="n">
        <v>1</v>
      </c>
      <c r="Q23" t="n">
        <v>1</v>
      </c>
      <c r="R23" t="n">
        <v>400</v>
      </c>
      <c r="S23" t="n">
        <v>970</v>
      </c>
      <c r="T23" t="n">
        <v>300</v>
      </c>
      <c r="U23" t="n">
        <v>30</v>
      </c>
      <c r="V23" t="n">
        <v>55.43</v>
      </c>
      <c r="W23" t="n">
        <v>44.57</v>
      </c>
      <c r="X23" t="inlineStr">
        <is>
          <t>No</t>
        </is>
      </c>
      <c r="Y23" t="inlineStr">
        <is>
          <t>Not optimal</t>
        </is>
      </c>
      <c r="Z23" t="b">
        <v>1</v>
      </c>
      <c r="AA23" t="b">
        <v>1</v>
      </c>
      <c r="AB23" t="b">
        <v>1</v>
      </c>
      <c r="AC23" t="b">
        <v>1</v>
      </c>
      <c r="AD23" t="n">
        <v>0.01</v>
      </c>
      <c r="AE23" t="inlineStr">
        <is>
          <t>Confirmed</t>
        </is>
      </c>
    </row>
    <row r="24">
      <c r="A24" s="4" t="inlineStr">
        <is>
          <t>CarryingHandleBox</t>
        </is>
      </c>
      <c r="B24" s="4" t="inlineStr">
        <is>
          <t>TC4</t>
        </is>
      </c>
      <c r="C24" s="4" t="inlineStr">
        <is>
          <t>S5 Mixed Rotation</t>
        </is>
      </c>
      <c r="D24" s="4" t="inlineStr">
        <is>
          <t>0+90</t>
        </is>
      </c>
      <c r="E24" s="4" t="inlineStr">
        <is>
          <t>W x H</t>
        </is>
      </c>
      <c r="F24" s="4" t="inlineStr">
        <is>
          <t>Yes</t>
        </is>
      </c>
      <c r="G24" s="4" t="inlineStr">
        <is>
          <t>Future</t>
        </is>
      </c>
      <c r="H24" s="4" t="n">
        <v>1000</v>
      </c>
      <c r="I24" s="4" t="n">
        <v>700</v>
      </c>
      <c r="J24" s="4" t="inlineStr">
        <is>
          <t>-</t>
        </is>
      </c>
      <c r="K24" s="4" t="inlineStr">
        <is>
          <t>-</t>
        </is>
      </c>
      <c r="L24" s="4" t="n">
        <v>5</v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No</t>
        </is>
      </c>
      <c r="Y24" s="4" t="inlineStr">
        <is>
          <t>Future Engine — not evaluated today</t>
        </is>
      </c>
      <c r="Z24" s="4" t="b">
        <v>1</v>
      </c>
      <c r="AA24" s="4" t="b">
        <v>1</v>
      </c>
      <c r="AB24" s="4" t="b">
        <v>1</v>
      </c>
      <c r="AC24" s="4" t="b">
        <v>1</v>
      </c>
      <c r="AD24" s="4" t="n">
        <v>0.01</v>
      </c>
      <c r="AE24" s="4" t="inlineStr">
        <is>
          <t>Future</t>
        </is>
      </c>
      <c r="AF24" s="4" t="inlineStr">
        <is>
          <t>S5/S6 Future Engine; not failure conditions</t>
        </is>
      </c>
    </row>
    <row r="25">
      <c r="A25" s="4" t="inlineStr">
        <is>
          <t>CarryingHandleBox</t>
        </is>
      </c>
      <c r="B25" s="4" t="inlineStr">
        <is>
          <t>TC4</t>
        </is>
      </c>
      <c r="C25" s="4" t="inlineStr">
        <is>
          <t>S6 Mixed + Sheet Flip</t>
        </is>
      </c>
      <c r="D25" s="4" t="inlineStr">
        <is>
          <t>0+90</t>
        </is>
      </c>
      <c r="E25" s="4" t="inlineStr">
        <is>
          <t>H x W</t>
        </is>
      </c>
      <c r="F25" s="4" t="inlineStr">
        <is>
          <t>Yes</t>
        </is>
      </c>
      <c r="G25" s="4" t="inlineStr">
        <is>
          <t>Future</t>
        </is>
      </c>
      <c r="H25" s="4" t="n">
        <v>700</v>
      </c>
      <c r="I25" s="4" t="n">
        <v>1000</v>
      </c>
      <c r="J25" s="4" t="inlineStr">
        <is>
          <t>-</t>
        </is>
      </c>
      <c r="K25" s="4" t="inlineStr">
        <is>
          <t>-</t>
        </is>
      </c>
      <c r="L25" s="4" t="n">
        <v>5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No</t>
        </is>
      </c>
      <c r="Y25" s="4" t="inlineStr">
        <is>
          <t>Future Engine — not evaluated today</t>
        </is>
      </c>
      <c r="Z25" s="4" t="b">
        <v>1</v>
      </c>
      <c r="AA25" s="4" t="b">
        <v>1</v>
      </c>
      <c r="AB25" s="4" t="b">
        <v>1</v>
      </c>
      <c r="AC25" s="4" t="b">
        <v>1</v>
      </c>
      <c r="AD25" s="4" t="n">
        <v>0.01</v>
      </c>
      <c r="AE25" s="4" t="inlineStr">
        <is>
          <t>Future</t>
        </is>
      </c>
      <c r="AF25" s="4" t="inlineStr">
        <is>
          <t>S5/S6 Future Engine; not failure conditions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4" customWidth="1" min="5" max="5"/>
    <col width="22" customWidth="1" min="6" max="6"/>
    <col width="2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RotationAllowed</t>
        </is>
      </c>
      <c r="D1" s="1" t="inlineStr">
        <is>
          <t>SheetFlipAllowed</t>
        </is>
      </c>
      <c r="E1" s="1" t="inlineStr">
        <is>
          <t>BestRotation</t>
        </is>
      </c>
      <c r="F1" s="1" t="inlineStr">
        <is>
          <t>BestSheetOrientation</t>
        </is>
      </c>
      <c r="G1" s="1" t="inlineStr">
        <is>
          <t>MixedRotationSupported</t>
        </is>
      </c>
      <c r="H1" s="1" t="inlineStr">
        <is>
          <t>SelectedScenario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</t>
        </is>
      </c>
      <c r="F2" s="2" t="inlineStr">
        <is>
          <t>W x H</t>
        </is>
      </c>
      <c r="G2" s="2" t="inlineStr">
        <is>
          <t>No</t>
        </is>
      </c>
      <c r="H2" s="2" t="inlineStr">
        <is>
          <t>S1 Normal</t>
        </is>
      </c>
      <c r="I2" s="2" t="inlineStr">
        <is>
          <t>argmax over S1..S4 of (Pieces -&gt; Util% -&gt; -Waste%)</t>
        </is>
      </c>
      <c r="J2" s="2" t="inlineStr">
        <is>
          <t>Confirmed</t>
        </is>
      </c>
      <c r="K2" s="2" t="inlineStr">
        <is>
          <t>Mixed Rotation (S5/S6) = Future Engine</t>
        </is>
      </c>
    </row>
    <row r="3">
      <c r="A3" t="inlineStr">
        <is>
          <t>CarryingHandleBox</t>
        </is>
      </c>
      <c r="B3" t="inlineStr">
        <is>
          <t>TC2</t>
        </is>
      </c>
      <c r="C3" t="inlineStr">
        <is>
          <t>Yes</t>
        </is>
      </c>
      <c r="D3" t="inlineStr">
        <is>
          <t>Yes</t>
        </is>
      </c>
      <c r="E3" t="inlineStr">
        <is>
          <t>0</t>
        </is>
      </c>
      <c r="F3" t="inlineStr">
        <is>
          <t>W x H</t>
        </is>
      </c>
      <c r="G3" t="inlineStr">
        <is>
          <t>No</t>
        </is>
      </c>
      <c r="H3" t="inlineStr">
        <is>
          <t>S1 Normal</t>
        </is>
      </c>
      <c r="I3" t="inlineStr">
        <is>
          <t>argmax over S1..S4 of (Pieces -&gt; Util% -&gt; -Waste%)</t>
        </is>
      </c>
      <c r="J3" t="inlineStr">
        <is>
          <t>Confirmed</t>
        </is>
      </c>
      <c r="K3" t="inlineStr">
        <is>
          <t>Mixed Rotation (S5/S6) = Future Engine</t>
        </is>
      </c>
    </row>
    <row r="4">
      <c r="A4" t="inlineStr">
        <is>
          <t>CarryingHandleBox</t>
        </is>
      </c>
      <c r="B4" t="inlineStr">
        <is>
          <t>TC3</t>
        </is>
      </c>
      <c r="C4" t="inlineStr">
        <is>
          <t>Yes</t>
        </is>
      </c>
      <c r="D4" t="inlineStr">
        <is>
          <t>Yes</t>
        </is>
      </c>
      <c r="E4" t="inlineStr">
        <is>
          <t>0</t>
        </is>
      </c>
      <c r="F4" t="inlineStr">
        <is>
          <t>W x H</t>
        </is>
      </c>
      <c r="G4" t="inlineStr">
        <is>
          <t>No</t>
        </is>
      </c>
      <c r="H4" t="inlineStr">
        <is>
          <t>S1 Normal</t>
        </is>
      </c>
      <c r="I4" t="inlineStr">
        <is>
          <t>argmax over S1..S4 of (Pieces -&gt; Util% -&gt; -Waste%)</t>
        </is>
      </c>
      <c r="J4" t="inlineStr">
        <is>
          <t>Confirmed</t>
        </is>
      </c>
      <c r="K4" t="inlineStr">
        <is>
          <t>Mixed Rotation (S5/S6) = Future Engine</t>
        </is>
      </c>
    </row>
    <row r="5">
      <c r="A5" t="inlineStr">
        <is>
          <t>CarryingHandleBox</t>
        </is>
      </c>
      <c r="B5" t="inlineStr">
        <is>
          <t>TC4</t>
        </is>
      </c>
      <c r="C5" t="inlineStr">
        <is>
          <t>Yes</t>
        </is>
      </c>
      <c r="D5" t="inlineStr">
        <is>
          <t>Yes</t>
        </is>
      </c>
      <c r="E5" t="inlineStr">
        <is>
          <t>0</t>
        </is>
      </c>
      <c r="F5" t="inlineStr">
        <is>
          <t>W x H</t>
        </is>
      </c>
      <c r="G5" t="inlineStr">
        <is>
          <t>No</t>
        </is>
      </c>
      <c r="H5" t="inlineStr">
        <is>
          <t>S1 Normal</t>
        </is>
      </c>
      <c r="I5" t="inlineStr">
        <is>
          <t>argmax over S1..S4 of (Pieces -&gt; Util% -&gt; -Waste%)</t>
        </is>
      </c>
      <c r="J5" t="inlineStr">
        <is>
          <t>Confirmed</t>
        </is>
      </c>
      <c r="K5" t="inlineStr">
        <is>
          <t>Mixed Rotation (S5/S6) = Future Engine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4" customWidth="1" min="6" max="6"/>
    <col width="14" customWidth="1" min="7" max="7"/>
    <col width="14" customWidth="1" min="8" max="8"/>
  </cols>
  <sheetData>
    <row r="1" ht="32" customHeight="1">
      <c r="A1" s="1" t="inlineStr">
        <is>
          <t>TemplateName</t>
        </is>
      </c>
      <c r="B1" s="1" t="inlineStr">
        <is>
          <t>TestCaseID</t>
        </is>
      </c>
      <c r="C1" s="1" t="inlineStr">
        <is>
          <t>RuleName</t>
        </is>
      </c>
      <c r="D1" s="1" t="inlineStr">
        <is>
          <t>ChangedInput</t>
        </is>
      </c>
      <c r="E1" s="1" t="inlineStr">
        <is>
          <t>ExpectedAffectedAxis</t>
        </is>
      </c>
      <c r="F1" s="1" t="inlineStr">
        <is>
          <t>ExpectedUnaffectedAxis</t>
        </is>
      </c>
      <c r="G1" s="1" t="inlineStr">
        <is>
          <t>PassFail</t>
        </is>
      </c>
      <c r="H1" s="1" t="inlineStr">
        <is>
          <t>Notes</t>
        </is>
      </c>
    </row>
    <row r="2">
      <c r="A2" s="2" t="inlineStr">
        <is>
          <t>CarryingHandleBox</t>
        </is>
      </c>
      <c r="B2" s="2" t="inlineStr">
        <is>
          <t>TC1</t>
        </is>
      </c>
      <c r="C2" s="2" t="inlineStr">
        <is>
          <t>Height does not affect X boundaries</t>
        </is>
      </c>
      <c r="D2" s="2" t="inlineStr">
        <is>
          <t>Height</t>
        </is>
      </c>
      <c r="E2" s="2" t="inlineStr">
        <is>
          <t>Y</t>
        </is>
      </c>
      <c r="F2" s="2" t="inlineStr">
        <is>
          <t>X</t>
        </is>
      </c>
      <c r="G2" s="2" t="inlineStr">
        <is>
          <t>Pass</t>
        </is>
      </c>
      <c r="H2" s="2" t="inlineStr">
        <is>
          <t>Engine: X = f(L, D, G) only</t>
        </is>
      </c>
    </row>
    <row r="3">
      <c r="A3" s="2" t="inlineStr">
        <is>
          <t>CarryingHandleBox</t>
        </is>
      </c>
      <c r="B3" s="2" t="inlineStr">
        <is>
          <t>TC1</t>
        </is>
      </c>
      <c r="C3" s="2" t="inlineStr">
        <is>
          <t>Length does not affect Y boundaries</t>
        </is>
      </c>
      <c r="D3" s="2" t="inlineStr">
        <is>
          <t>Length</t>
        </is>
      </c>
      <c r="E3" s="2" t="inlineStr">
        <is>
          <t>X</t>
        </is>
      </c>
      <c r="F3" s="2" t="inlineStr">
        <is>
          <t>Y</t>
        </is>
      </c>
      <c r="G3" s="2" t="inlineStr">
        <is>
          <t>Pass</t>
        </is>
      </c>
      <c r="H3" s="2" t="inlineStr">
        <is>
          <t>Engine: Y = f(D, H) only</t>
        </is>
      </c>
    </row>
    <row r="4">
      <c r="A4" s="2" t="inlineStr">
        <is>
          <t>CarryingHandleBox</t>
        </is>
      </c>
      <c r="B4" s="2" t="inlineStr">
        <is>
          <t>TC1</t>
        </is>
      </c>
      <c r="C4" s="2" t="inlineStr">
        <is>
          <t>GlueFlap does not affect Y</t>
        </is>
      </c>
      <c r="D4" s="2" t="inlineStr">
        <is>
          <t>GlueFlap</t>
        </is>
      </c>
      <c r="E4" s="2" t="inlineStr">
        <is>
          <t>X</t>
        </is>
      </c>
      <c r="F4" s="2" t="inlineStr">
        <is>
          <t>Y</t>
        </is>
      </c>
      <c r="G4" s="2" t="inlineStr">
        <is>
          <t>Pass</t>
        </is>
      </c>
      <c r="H4" s="2" t="inlineStr">
        <is>
          <t>G only shifts X0..X1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0" customWidth="1" min="10" max="10"/>
    <col width="20" customWidth="1" min="11" max="11"/>
    <col width="22" customWidth="1" min="12" max="12"/>
    <col width="14" customWidth="1" min="13" max="13"/>
    <col width="14" customWidth="1" min="14" max="14"/>
  </cols>
  <sheetData>
    <row r="1" ht="32" customHeight="1">
      <c r="A1" s="1" t="inlineStr">
        <is>
          <t>TestCaseID</t>
        </is>
      </c>
      <c r="B1" s="1" t="inlineStr">
        <is>
          <t>TemplateName</t>
        </is>
      </c>
      <c r="C1" s="1" t="inlineStr">
        <is>
          <t>Length</t>
        </is>
      </c>
      <c r="D1" s="1" t="inlineStr">
        <is>
          <t>Depth</t>
        </is>
      </c>
      <c r="E1" s="1" t="inlineStr">
        <is>
          <t>Height</t>
        </is>
      </c>
      <c r="F1" s="1" t="inlineStr">
        <is>
          <t>SheetWidth</t>
        </is>
      </c>
      <c r="G1" s="1" t="inlineStr">
        <is>
          <t>SheetHeight</t>
        </is>
      </c>
      <c r="H1" s="1" t="inlineStr">
        <is>
          <t>Gap</t>
        </is>
      </c>
      <c r="I1" s="1" t="inlineStr">
        <is>
          <t>ExpectedFootprintW</t>
        </is>
      </c>
      <c r="J1" s="1" t="inlineStr">
        <is>
          <t>ExpectedFootprintH</t>
        </is>
      </c>
      <c r="K1" s="1" t="inlineStr">
        <is>
          <t>ExpectedBestPieces</t>
        </is>
      </c>
      <c r="L1" s="1" t="inlineStr">
        <is>
          <t>ExpectedBestScenario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TC1</t>
        </is>
      </c>
      <c r="B2" s="2" t="inlineStr">
        <is>
          <t>CarryingHandleBox</t>
        </is>
      </c>
      <c r="C2" s="2" t="n">
        <v>300</v>
      </c>
      <c r="D2" s="2" t="n">
        <v>150</v>
      </c>
      <c r="E2" s="2" t="n">
        <v>180</v>
      </c>
      <c r="F2" s="2" t="n">
        <v>1000</v>
      </c>
      <c r="G2" s="2" t="n">
        <v>700</v>
      </c>
      <c r="H2" s="2" t="n">
        <v>5</v>
      </c>
      <c r="I2" s="2" t="n">
        <v>930</v>
      </c>
      <c r="J2" s="2" t="n">
        <v>435</v>
      </c>
      <c r="K2" s="2" t="n">
        <v>1</v>
      </c>
      <c r="L2" s="2" t="inlineStr">
        <is>
          <t>S1 Normal</t>
        </is>
      </c>
      <c r="M2" s="2" t="inlineStr">
        <is>
          <t>Confirmed</t>
        </is>
      </c>
      <c r="N2" s="2" t="inlineStr"/>
    </row>
    <row r="3">
      <c r="A3" s="2" t="inlineStr">
        <is>
          <t>TC2</t>
        </is>
      </c>
      <c r="B3" s="2" t="inlineStr">
        <is>
          <t>CarryingHandleBox</t>
        </is>
      </c>
      <c r="C3" s="2" t="n">
        <v>320</v>
      </c>
      <c r="D3" s="2" t="n">
        <v>160</v>
      </c>
      <c r="E3" s="2" t="n">
        <v>170</v>
      </c>
      <c r="F3" s="2" t="n">
        <v>1000</v>
      </c>
      <c r="G3" s="2" t="n">
        <v>700</v>
      </c>
      <c r="H3" s="2" t="n">
        <v>5</v>
      </c>
      <c r="I3" s="2" t="n">
        <v>990</v>
      </c>
      <c r="J3" s="2" t="n">
        <v>442</v>
      </c>
      <c r="K3" s="2" t="n">
        <v>1</v>
      </c>
      <c r="L3" s="2" t="inlineStr">
        <is>
          <t>S1 Normal</t>
        </is>
      </c>
      <c r="M3" s="2" t="inlineStr">
        <is>
          <t>Confirmed</t>
        </is>
      </c>
      <c r="N3" s="2" t="inlineStr"/>
    </row>
    <row r="4">
      <c r="A4" s="2" t="inlineStr">
        <is>
          <t>TC3</t>
        </is>
      </c>
      <c r="B4" s="2" t="inlineStr">
        <is>
          <t>CarryingHandleBox</t>
        </is>
      </c>
      <c r="C4" s="2" t="n">
        <v>280</v>
      </c>
      <c r="D4" s="2" t="n">
        <v>155</v>
      </c>
      <c r="E4" s="2" t="n">
        <v>170</v>
      </c>
      <c r="F4" s="2" t="n">
        <v>1000</v>
      </c>
      <c r="G4" s="2" t="n">
        <v>700</v>
      </c>
      <c r="H4" s="2" t="n">
        <v>5</v>
      </c>
      <c r="I4" s="2" t="n">
        <v>900</v>
      </c>
      <c r="J4" s="2" t="n">
        <v>433.5</v>
      </c>
      <c r="K4" s="2" t="n">
        <v>1</v>
      </c>
      <c r="L4" s="2" t="inlineStr">
        <is>
          <t>S1 Normal</t>
        </is>
      </c>
      <c r="M4" s="2" t="inlineStr">
        <is>
          <t>Confirmed</t>
        </is>
      </c>
      <c r="N4" s="2" t="inlineStr"/>
    </row>
    <row r="5">
      <c r="A5" s="2" t="inlineStr">
        <is>
          <t>TC4</t>
        </is>
      </c>
      <c r="B5" s="2" t="inlineStr">
        <is>
          <t>CarryingHandleBox</t>
        </is>
      </c>
      <c r="C5" s="2" t="n">
        <v>330</v>
      </c>
      <c r="D5" s="2" t="n">
        <v>140</v>
      </c>
      <c r="E5" s="2" t="n">
        <v>160</v>
      </c>
      <c r="F5" s="2" t="n">
        <v>1000</v>
      </c>
      <c r="G5" s="2" t="n">
        <v>700</v>
      </c>
      <c r="H5" s="2" t="n">
        <v>5</v>
      </c>
      <c r="I5" s="2" t="n">
        <v>970</v>
      </c>
      <c r="J5" s="2" t="n">
        <v>400</v>
      </c>
      <c r="K5" s="2" t="n">
        <v>1</v>
      </c>
      <c r="L5" s="2" t="inlineStr">
        <is>
          <t>S1 Normal</t>
        </is>
      </c>
      <c r="M5" s="2" t="inlineStr">
        <is>
          <t>Confirmed</t>
        </is>
      </c>
      <c r="N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2026-06-14T00:26:40Z</dcterms:created>
  <dcterms:modified xmlns:dcterms="http://purl.org/dc/terms/" xmlns:xsi="http://www.w3.org/2001/XMLSchema-instance" xsi:type="dcterms:W3CDTF">2026-06-15T10:47:23Z</dcterms:modified>
</cp:coreProperties>
</file>