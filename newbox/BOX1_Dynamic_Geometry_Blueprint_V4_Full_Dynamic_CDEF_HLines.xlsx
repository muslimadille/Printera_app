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283533564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e7949f07b664f7a"/>
    <x:sheet xmlns:r="http://schemas.openxmlformats.org/officeDocument/2006/relationships" name="Dynamic_Points" sheetId="2" r:id="R5eb8615ad0d645f5"/>
    <x:sheet xmlns:r="http://schemas.openxmlformats.org/officeDocument/2006/relationships" name="Dynamic_Lines" sheetId="3" r:id="R2aef5fcf64fb44b3"/>
    <x:sheet xmlns:r="http://schemas.openxmlformats.org/officeDocument/2006/relationships" name="Movement_Rules" sheetId="4" r:id="Rc66602fde37548de"/>
    <x:sheet xmlns:r="http://schemas.openxmlformats.org/officeDocument/2006/relationships" name="Angle_Rules" sheetId="5" r:id="Re072aa0e4d8144f8"/>
    <x:sheet xmlns:r="http://schemas.openxmlformats.org/officeDocument/2006/relationships" name="Mirror_Rules" sheetId="6" r:id="Rce6abaf1762f480b"/>
    <x:sheet xmlns:r="http://schemas.openxmlformats.org/officeDocument/2006/relationships" name="Connectivity_Checks" sheetId="7" r:id="Re27dc10edc5448f6"/>
    <x:sheet xmlns:r="http://schemas.openxmlformats.org/officeDocument/2006/relationships" name="SVG_Build_Notes" sheetId="8" r:id="R4de3801e245c4c6f"/>
    <x:sheet xmlns:r="http://schemas.openxmlformats.org/officeDocument/2006/relationships" name="Test_Cases" sheetId="9" r:id="R2dd2b9ba2072432a"/>
    <x:sheet xmlns:r="http://schemas.openxmlformats.org/officeDocument/2006/relationships" name="SVG_Line_Export" sheetId="10" r:id="Rdabc6988c67c466e"/>
    <x:sheet xmlns:r="http://schemas.openxmlformats.org/officeDocument/2006/relationships" name="System_Readme" sheetId="11" r:id="Rd7abb5e933784184"/>
    <x:sheet xmlns:r="http://schemas.openxmlformats.org/officeDocument/2006/relationships" name="Area_Dynamic_Rules" sheetId="12" r:id="Rb3689c93a78c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1" fillId="2" borderId="0" xfId="0" applyNumberFormat="1" applyFont="1" applyFill="1" applyBorder="1"/>
    <x:xf numFmtId="200" fontId="0" fillId="0" borderId="1" xfId="0" applyNumberFormat="1" applyFont="1" applyFill="1" applyBorder="1"/>
    <x:xf numFmtId="20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8ae1d2fc04b22" /><Relationship Type="http://schemas.openxmlformats.org/officeDocument/2006/relationships/theme" Target="/xl/theme/theme1.xml" Id="R6d20e162b8d042df" /><Relationship Type="http://schemas.openxmlformats.org/officeDocument/2006/relationships/sharedStrings" Target="/xl/sharedStrings.xml" Id="Re994800716914181" /><Relationship Type="http://schemas.openxmlformats.org/officeDocument/2006/relationships/worksheet" Target="/xl/worksheets/sheet1.xml" Id="R2e7949f07b664f7a" /><Relationship Type="http://schemas.openxmlformats.org/officeDocument/2006/relationships/worksheet" Target="/xl/worksheets/sheet2.xml" Id="R5eb8615ad0d645f5" /><Relationship Type="http://schemas.openxmlformats.org/officeDocument/2006/relationships/worksheet" Target="/xl/worksheets/sheet3.xml" Id="R2aef5fcf64fb44b3" /><Relationship Type="http://schemas.openxmlformats.org/officeDocument/2006/relationships/worksheet" Target="/xl/worksheets/sheet4.xml" Id="Rc66602fde37548de" /><Relationship Type="http://schemas.openxmlformats.org/officeDocument/2006/relationships/worksheet" Target="/xl/worksheets/sheet5.xml" Id="Re072aa0e4d8144f8" /><Relationship Type="http://schemas.openxmlformats.org/officeDocument/2006/relationships/worksheet" Target="/xl/worksheets/sheet6.xml" Id="Rce6abaf1762f480b" /><Relationship Type="http://schemas.openxmlformats.org/officeDocument/2006/relationships/worksheet" Target="/xl/worksheets/sheet7.xml" Id="Re27dc10edc5448f6" /><Relationship Type="http://schemas.openxmlformats.org/officeDocument/2006/relationships/worksheet" Target="/xl/worksheets/sheet8.xml" Id="R4de3801e245c4c6f" /><Relationship Type="http://schemas.openxmlformats.org/officeDocument/2006/relationships/worksheet" Target="/xl/worksheets/sheet9.xml" Id="R2dd2b9ba2072432a" /><Relationship Type="http://schemas.openxmlformats.org/officeDocument/2006/relationships/worksheet" Target="/xl/worksheets/sheet10.xml" Id="Rdabc6988c67c466e" /><Relationship Type="http://schemas.openxmlformats.org/officeDocument/2006/relationships/worksheet" Target="/xl/worksheets/sheet11.xml" Id="Rd7abb5e933784184" /><Relationship Type="http://schemas.openxmlformats.org/officeDocument/2006/relationships/worksheet" Target="/xl/worksheets/sheet12.xml" Id="Rb3689c93a78c44f0" /></Relationships>
</file>

<file path=xl/tables/table1.xml><?xml version="1.0" encoding="utf-8"?>
<x:table xmlns:x="http://schemas.openxmlformats.org/spreadsheetml/2006/main" id="1" name="DynamicPoints" displayName="DynamicPoints" ref="A1:H56" headerRowCount="1">
  <x:tableColumns count="8">
    <x:tableColumn id="1" name="Point_ID"/>
    <x:tableColumn id="2" name="Description"/>
    <x:tableColumn id="3" name="Rule / Meaning"/>
    <x:tableColumn id="4" name="Ref_X_mm"/>
    <x:tableColumn id="5" name="Dyn_X_mm"/>
    <x:tableColumn id="6" name="Ref_Y_mm"/>
    <x:tableColumn id="7" name="Dyn_Y_mm"/>
    <x:tableColumn id="8" name="Connected_Lines"/>
  </x:tableColumns>
  <x:tableStyleInfo name="TableStyleMedium2" showRowStripes="1"/>
</x:table>
</file>

<file path=xl/tables/table2.xml><?xml version="1.0" encoding="utf-8"?>
<x:table xmlns:x="http://schemas.openxmlformats.org/spreadsheetml/2006/main" id="2" name="DynamicLines" displayName="DynamicLines" ref="A1:T64" headerRowCount="1">
  <x:tableColumns count="20">
    <x:tableColumn id="1" name="Line_ID"/>
    <x:tableColumn id="2" name="Layer"/>
    <x:tableColumn id="3" name="Source_Object"/>
    <x:tableColumn id="4" name="Start_Point"/>
    <x:tableColumn id="5" name="End_Point"/>
    <x:tableColumn id="6" name="X1_dyn_mm"/>
    <x:tableColumn id="7" name="Y1_dyn_mm"/>
    <x:tableColumn id="8" name="X2_dyn_mm"/>
    <x:tableColumn id="9" name="Y2_dyn_mm"/>
    <x:tableColumn id="10" name="Ref_X1_mm"/>
    <x:tableColumn id="11" name="Ref_Y1_mm"/>
    <x:tableColumn id="12" name="Ref_X2_mm"/>
    <x:tableColumn id="13" name="Ref_Y2_mm"/>
    <x:tableColumn id="14" name="DX_mm"/>
    <x:tableColumn id="15" name="DY_mm"/>
    <x:tableColumn id="16" name="Length_mm"/>
    <x:tableColumn id="17" name="Angle_abs_deg"/>
    <x:tableColumn id="18" name="Affected_By"/>
    <x:tableColumn id="19" name="Angle_Rule"/>
    <x:tableColumn id="20" name="Connectivity / Build Note"/>
  </x:tableColumns>
  <x:tableStyleInfo name="TableStyleMedium2" showRowStripes="1"/>
</x:table>
</file>

<file path=xl/tables/table3.xml><?xml version="1.0" encoding="utf-8"?>
<x:table xmlns:x="http://schemas.openxmlformats.org/spreadsheetml/2006/main" id="3" name="MovementRules" displayName="MovementRules" ref="A1:F6" headerRowCount="1">
  <x:tableColumns count="6">
    <x:tableColumn id="1" name="Rule_ID"/>
    <x:tableColumn id="2" name="Input"/>
    <x:tableColumn id="3" name="Reference"/>
    <x:tableColumn id="4" name="Delta Formula"/>
    <x:tableColumn id="5" name="Lines / Anchors affected"/>
    <x:tableColumn id="6" name="Required Behavior"/>
  </x:tableColumns>
  <x:tableStyleInfo name="TableStyleMedium2" showRowStripes="1"/>
</x:table>
</file>

<file path=xl/tables/table4.xml><?xml version="1.0" encoding="utf-8"?>
<x:table xmlns:x="http://schemas.openxmlformats.org/spreadsheetml/2006/main" id="4" name="AngleRules" displayName="AngleRules" ref="A1:D7" headerRowCount="1">
  <x:tableColumns count="4">
    <x:tableColumn id="1" name="Angle_Group"/>
    <x:tableColumn id="2" name="Lines"/>
    <x:tableColumn id="3" name="Required Angle"/>
    <x:tableColumn id="4" name="How preserved"/>
  </x:tableColumns>
  <x:tableStyleInfo name="TableStyleMedium2" showRowStripes="1"/>
</x:table>
</file>

<file path=xl/tables/table5.xml><?xml version="1.0" encoding="utf-8"?>
<x:table xmlns:x="http://schemas.openxmlformats.org/spreadsheetml/2006/main" id="5" name="MirrorRules" displayName="MirrorRules" ref="A1:D9" headerRowCount="1">
  <x:tableColumns count="4">
    <x:tableColumn id="1" name="Reference"/>
    <x:tableColumn id="2" name="Mirror_Target"/>
    <x:tableColumn id="3" name="Mirror_Type"/>
    <x:tableColumn id="4" name="Meaning"/>
  </x:tableColumns>
  <x:tableStyleInfo name="TableStyleMedium2" showRowStripes="1"/>
</x:table>
</file>

<file path=xl/tables/table6.xml><?xml version="1.0" encoding="utf-8"?>
<x:table xmlns:x="http://schemas.openxmlformats.org/spreadsheetml/2006/main" id="6" name="SvgLineExport" displayName="SvgLineExport" ref="A1:I64" headerRowCount="1">
  <x:tableColumns count="9">
    <x:tableColumn id="1" name="Line_ID"/>
    <x:tableColumn id="2" name="Layer"/>
    <x:tableColumn id="3" name="X1"/>
    <x:tableColumn id="4" name="Y1"/>
    <x:tableColumn id="5" name="X2"/>
    <x:tableColumn id="6" name="Y2"/>
    <x:tableColumn id="7" name="Stroke"/>
    <x:tableColumn id="8" name="SVG_Line_Tag"/>
    <x:tableColumn id="9" name="Build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96a04b6b4243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8b73821c09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f15fb3194145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a50ebb707f41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d4d2b82c5145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3f52736ca6644c8d" /></Relationships>
</file>

<file path=xl/worksheets/sheet1.xml><?xml version="1.0" encoding="utf-8"?>
<x:worksheet xmlns:x="http://schemas.openxmlformats.org/spreadsheetml/2006/main">
  <x:sheetFormatPr defaultRowHeight="15"/>
  <x:cols>
    <x:col min="1" max="1" width="37.630001068115234" hidden="0" customWidth="1"/>
    <x:col min="2" max="2" width="67.87999725341797" hidden="0" customWidth="1"/>
    <x:col min="3" max="3" width="12.880000114440918" hidden="0" customWidth="1"/>
    <x:col min="4" max="4" width="38.130001068115234" hidden="0" customWidth="1"/>
  </x:cols>
  <x:sheetData>
    <x:row r="1">
      <x:c r="A1" s="13" t="str">
        <x:v>BOX1 Dynamic Geometry Blueprint V3</x:v>
      </x:c>
      <x:c r="B1" s="6" t="str"/>
      <x:c r="C1" s="6" t="str"/>
      <x:c r="D1" s="6" t="str"/>
      <x:c r="E1" s="6"/>
      <x:c r="F1" s="6"/>
      <x:c r="G1" s="6"/>
      <x:c r="H1" s="6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>
      <x:c r="A2" s="34" t="str">
        <x:v>Purpose</x:v>
      </x:c>
      <x:c r="B2" s="34" t="str">
        <x:v>Dynamic Excel blueprint with inputs, deltas, anchors, points, lines, angles, and connectivity</x:v>
      </x:c>
      <x:c r="C2" s="34" t="str"/>
      <x:c r="D2" s="34" t="str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33" t="str">
        <x:v>Editable Inputs</x:v>
      </x:c>
      <x:c r="B3" s="33" t="str">
        <x:v>Value (mm)</x:v>
      </x:c>
      <x:c r="C3" s="33" t="str">
        <x:v>Reference</x:v>
      </x:c>
      <x:c r="D3" s="33" t="str">
        <x:v>Notes</x:v>
      </x:c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4">
      <x:c r="A4" s="34" t="str">
        <x:v>L</x:v>
      </x:c>
      <x:c r="B4" s="36" t="n">
        <x:v>250</x:v>
      </x:c>
      <x:c r="C4" s="35" t="n">
        <x:v>250</x:v>
      </x:c>
      <x:c r="D4" s="34" t="str">
        <x:v>Main length. Dynamic delta = L - 250</x:v>
      </x:c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>
      <x:c r="A5" s="34" t="str">
        <x:v>W</x:v>
      </x:c>
      <x:c r="B5" s="36" t="n">
        <x:v>190</x:v>
      </x:c>
      <x:c r="C5" s="35" t="n">
        <x:v>190</x:v>
      </x:c>
      <x:c r="D5" s="34" t="str">
        <x:v>Main width/panel height. Dynamic delta = W - 190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</x:row>
    <x:row r="6">
      <x:c r="A6" s="34" t="str">
        <x:v>H</x:v>
      </x:c>
      <x:c r="B6" s="36" t="n">
        <x:v>50</x:v>
      </x:c>
      <x:c r="C6" s="35" t="n">
        <x:v>50</x:v>
      </x:c>
      <x:c r="D6" s="34" t="str">
        <x:v>Main height/depth. Dynamic delta = H - 50</x:v>
      </x:c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 t="str"/>
      <x:c r="B7" s="35" t="str"/>
      <x:c r="C7" s="35" t="str"/>
      <x:c r="D7" s="34" t="str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 t="str">
        <x:v>Computed Deltas</x:v>
      </x:c>
      <x:c r="B8" s="35" t="str">
        <x:v>Formula</x:v>
      </x:c>
      <x:c r="C8" s="35" t="str"/>
      <x:c r="D8" s="34" t="str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 t="str">
        <x:v>Delta_L</x:v>
      </x:c>
      <x:c r="B9" s="35" t="n">
        <x:f>B4-C4</x:f>
        <x:v>0</x:v>
      </x:c>
      <x:c r="C9" s="35" t="str"/>
      <x:c r="D9" s="34" t="str">
        <x:v>New L - 250</x:v>
      </x:c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 t="str">
        <x:v>Delta_W</x:v>
      </x:c>
      <x:c r="B10" s="35" t="n">
        <x:f>B5-C5</x:f>
        <x:v>0</x:v>
      </x:c>
      <x:c r="C10" s="35" t="str"/>
      <x:c r="D10" s="34" t="str">
        <x:v>New W - 190</x:v>
      </x:c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 t="str">
        <x:v>Delta_H</x:v>
      </x:c>
      <x:c r="B11" s="35" t="n">
        <x:f>B6-C6</x:f>
        <x:v>0</x:v>
      </x:c>
      <x:c r="C11" s="35" t="str"/>
      <x:c r="D11" s="34" t="str">
        <x:v>New H - 50</x:v>
      </x:c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 t="str"/>
      <x:c r="B12" s="35" t="str"/>
      <x:c r="C12" s="35" t="str"/>
      <x:c r="D12" s="34" t="str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4" t="str">
        <x:v>Dynamic Base Anchors</x:v>
      </x:c>
      <x:c r="B13" s="37" t="str">
        <x:v>Formula / Value</x:v>
      </x:c>
      <x:c r="C13" s="37" t="str">
        <x:v>Reference Value</x:v>
      </x:c>
      <x:c r="D13" s="4" t="str">
        <x:v>Meaning</x:v>
      </x:c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 t="str"/>
      <x:c r="B14" s="35" t="str"/>
      <x:c r="C14" s="35" t="str"/>
      <x:c r="D14" s="34" t="str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 t="str">
        <x:v>X_Left_Main</x:v>
      </x:c>
      <x:c r="B15" s="35" t="n">
        <x:v>65.85</x:v>
      </x:c>
      <x:c r="C15" s="35" t="n">
        <x:v>65.85</x:v>
      </x:c>
      <x:c r="D15" s="34" t="str">
        <x:v>Fixed left body anchor from SVG reference</x:v>
      </x:c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 t="str">
        <x:v>X_Right_Main</x:v>
      </x:c>
      <x:c r="B16" s="35" t="n">
        <x:f>B15+B4</x:f>
        <x:v>315.85</x:v>
      </x:c>
      <x:c r="C16" s="35" t="n">
        <x:v>315.85</x:v>
      </x:c>
      <x:c r="D16" s="34" t="str">
        <x:v>X_Left_Main + L</x:v>
      </x:c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 t="str">
        <x:v>Y_Cover_Top</x:v>
      </x:c>
      <x:c r="B17" s="35" t="n">
        <x:f>20.35</x:f>
        <x:v>20.35</x:v>
      </x:c>
      <x:c r="C17" s="35" t="n">
        <x:v>20.35</x:v>
      </x:c>
      <x:c r="D17" s="34" t="str">
        <x:v>Fixed cover top baseline from SVG reference</x:v>
      </x:c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 t="str">
        <x:v>Y_Cover_Bottom</x:v>
      </x:c>
      <x:c r="B18" s="35" t="n">
        <x:f>B17+B5</x:f>
        <x:v>210.35</x:v>
      </x:c>
      <x:c r="C18" s="35" t="n">
        <x:v>210.35</x:v>
      </x:c>
      <x:c r="D18" s="34" t="str">
        <x:v>Y_Cover_Top + W</x:v>
      </x:c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 t="str">
        <x:v>Y_Top_Depth_Bottom</x:v>
      </x:c>
      <x:c r="B19" s="35" t="n">
        <x:f>B18+B6</x:f>
        <x:v>260.35</x:v>
      </x:c>
      <x:c r="C19" s="35" t="n">
        <x:v>260.35</x:v>
      </x:c>
      <x:c r="D19" s="34" t="str">
        <x:v>Y_Cover_Top + W + H</x:v>
      </x:c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 t="str">
        <x:v>Y_Base_Bottom</x:v>
      </x:c>
      <x:c r="B20" s="35" t="n">
        <x:f>B19+B5</x:f>
        <x:v>450.35</x:v>
      </x:c>
      <x:c r="C20" s="35" t="n">
        <x:v>450.35</x:v>
      </x:c>
      <x:c r="D20" s="34" t="str">
        <x:v>Y_Cover_Top + 2W + H</x:v>
      </x:c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 t="str">
        <x:v>Y_Bottom</x:v>
      </x:c>
      <x:c r="B21" s="35" t="n">
        <x:f>B20+B6</x:f>
        <x:v>500.35</x:v>
      </x:c>
      <x:c r="C21" s="35" t="n">
        <x:v>500.35</x:v>
      </x:c>
      <x:c r="D21" s="34" t="str">
        <x:v>Y_Cover_Top + 2W + 2H</x:v>
      </x:c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4" t="str"/>
      <x:c r="B22" s="37" t="str"/>
      <x:c r="C22" s="37" t="str"/>
      <x:c r="D22" s="4" t="str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4" t="str">
        <x:v>Validation</x:v>
      </x:c>
      <x:c r="B23" s="37" t="str">
        <x:v>Formula</x:v>
      </x:c>
      <x:c r="C23" s="37" t="str">
        <x:v>Expected</x:v>
      </x:c>
      <x:c r="D23" s="4" t="str">
        <x:v>Status/Meaning</x:v>
      </x:c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 t="str">
        <x:v>Main_L_Check</x:v>
      </x:c>
      <x:c r="B24" s="35" t="n">
        <x:f>B16-B15</x:f>
        <x:v>250.00000000000003</x:v>
      </x:c>
      <x:c r="C24" s="35" t="n">
        <x:f>B4</x:f>
        <x:v>250</x:v>
      </x:c>
      <x:c r="D24" s="34" t="str">
        <x:v>Should equal current L</x:v>
      </x:c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 t="str">
        <x:v>Cover_W_Check</x:v>
      </x:c>
      <x:c r="B25" s="35" t="n">
        <x:f>B18-B17</x:f>
        <x:v>190</x:v>
      </x:c>
      <x:c r="C25" s="35" t="n">
        <x:f>B5</x:f>
        <x:v>190</x:v>
      </x:c>
      <x:c r="D25" s="34" t="str">
        <x:v>Should equal current W</x:v>
      </x:c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 t="str">
        <x:v>Top_H_Check</x:v>
      </x:c>
      <x:c r="B26" s="35" t="n">
        <x:f>B19-B18</x:f>
        <x:v>50.00000000000003</x:v>
      </x:c>
      <x:c r="C26" s="35" t="n">
        <x:f>B6</x:f>
        <x:v>50</x:v>
      </x:c>
      <x:c r="D26" s="34" t="str">
        <x:v>Should equal current H</x:v>
      </x:c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 t="str">
        <x:v>Bottom_H_Check</x:v>
      </x:c>
      <x:c r="B27" s="35" t="n">
        <x:f>B21-B20</x:f>
        <x:v>50</x:v>
      </x:c>
      <x:c r="C27" s="35" t="n">
        <x:f>B6</x:f>
        <x:v>50</x:v>
      </x:c>
      <x:c r="D27" s="34" t="str">
        <x:v>Should equal current H</x:v>
      </x:c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mergeCells>
    <x:mergeCell ref="A1:D1"/>
  </x:mergeCells>
  <x:conditionalFormatting sqref="B23:B26">
    <x:cfRule type="expression" dxfId="0" priority="1">
      <x:formula>ABS(B23-C23)&gt;0.001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60" hidden="0" customWidth="1"/>
  </x:cols>
  <x:sheetData>
    <x:row r="1">
      <x:c r="A1" s="6" t="str">
        <x:v>Point_ID</x:v>
      </x:c>
      <x:c r="B1" s="6" t="str">
        <x:v>Description</x:v>
      </x:c>
      <x:c r="C1" s="6" t="str">
        <x:v>Rule / Meaning</x:v>
      </x:c>
      <x:c r="D1" s="6" t="str">
        <x:v>Ref_X_mm</x:v>
      </x:c>
      <x:c r="E1" s="6" t="str">
        <x:v>Dyn_X_mm</x:v>
      </x:c>
      <x:c r="F1" s="6" t="str">
        <x:v>Ref_Y_mm</x:v>
      </x:c>
      <x:c r="G1" s="6" t="str">
        <x:v>Dyn_Y_mm</x:v>
      </x:c>
      <x:c r="H1" s="6" t="str">
        <x:v>Connected_Lines</x:v>
      </x:c>
    </x:row>
    <x:row r="2">
      <x:c r="A2" t="str">
        <x:v>P001</x:v>
      </x:c>
      <x:c r="B2" t="str">
        <x:v>Right main corner: top-depth/base hinge</x:v>
      </x:c>
      <x:c r="C2" t="str">
        <x:v>Dynamic anchor from Inputs; shared by all connected lines</x:v>
      </x:c>
      <x:c r="D2" s="22" t="n">
        <x:v>315.85</x:v>
      </x:c>
      <x:c r="E2" s="22" t="n">
        <x:f>Inputs!$B$16</x:f>
        <x:v>315.85</x:v>
      </x:c>
      <x:c r="F2" s="22" t="n">
        <x:v>260.35</x:v>
      </x:c>
      <x:c r="G2" s="22" t="n">
        <x:f>Inputs!$B$19</x:f>
        <x:v>260.35</x:v>
      </x:c>
      <x:c r="H2" t="str">
        <x:v>D1, J4, CREASE1, CREASE11, CREASE13</x:v>
      </x:c>
    </x:row>
    <x:row r="3">
      <x:c r="A3" t="str">
        <x:v>P002</x:v>
      </x:c>
      <x:c r="B3" t="str">
        <x:v>Left main corner: top-depth/base hinge</x:v>
      </x:c>
      <x:c r="C3" t="str">
        <x:v>Dynamic anchor from Inputs; shared by all connected lines</x:v>
      </x:c>
      <x:c r="D3" s="22" t="n">
        <x:v>65.85</x:v>
      </x:c>
      <x:c r="E3" s="22" t="n">
        <x:f>Inputs!$B$15</x:f>
        <x:v>65.85</x:v>
      </x:c>
      <x:c r="F3" s="22" t="n">
        <x:v>260.35</x:v>
      </x:c>
      <x:c r="G3" s="22" t="n">
        <x:f>Inputs!$B$19</x:f>
        <x:v>260.35</x:v>
      </x:c>
      <x:c r="H3" t="str">
        <x:v>C1, H4, CREASE1, CREASE14, CREASE16</x:v>
      </x:c>
    </x:row>
    <x:row r="4">
      <x:c r="A4" t="str">
        <x:v>P003</x:v>
      </x:c>
      <x:c r="B4" t="str">
        <x:v>Right cover-bottom / top-depth start</x:v>
      </x:c>
      <x:c r="C4" t="str">
        <x:v>Dynamic anchor from Inputs; shared by all connected lines</x:v>
      </x:c>
      <x:c r="D4" s="22" t="n">
        <x:v>315.85</x:v>
      </x:c>
      <x:c r="E4" s="22" t="n">
        <x:f>Inputs!$B$16</x:f>
        <x:v>315.85</x:v>
      </x:c>
      <x:c r="F4" s="22" t="n">
        <x:v>210.35</x:v>
      </x:c>
      <x:c r="G4" s="22" t="n">
        <x:f>Inputs!$B$18</x:f>
        <x:v>210.35</x:v>
      </x:c>
      <x:c r="H4" t="str">
        <x:v>B4, D5, CREASE3, CREASE11</x:v>
      </x:c>
    </x:row>
    <x:row r="5">
      <x:c r="A5" t="str">
        <x:v>P004</x:v>
      </x:c>
      <x:c r="B5" t="str">
        <x:v>Left cover-bottom / top-depth start</x:v>
      </x:c>
      <x:c r="C5" t="str">
        <x:v>Dynamic anchor from Inputs; shared by all connected lines</x:v>
      </x:c>
      <x:c r="D5" s="22" t="n">
        <x:v>65.85</x:v>
      </x:c>
      <x:c r="E5" s="22" t="n">
        <x:f>Inputs!$B$15</x:f>
        <x:v>65.85</x:v>
      </x:c>
      <x:c r="F5" s="22" t="n">
        <x:v>210.35</x:v>
      </x:c>
      <x:c r="G5" s="22" t="n">
        <x:f>Inputs!$B$18</x:f>
        <x:v>210.35</x:v>
      </x:c>
      <x:c r="H5" t="str">
        <x:v>B2, C5, CREASE3, CREASE14</x:v>
      </x:c>
    </x:row>
    <x:row r="6">
      <x:c r="A6" t="str">
        <x:v>P005</x:v>
      </x:c>
      <x:c r="B6" t="str">
        <x:v>Right base-bottom / bottom-depth start</x:v>
      </x:c>
      <x:c r="C6" t="str">
        <x:v>Dynamic anchor from Inputs; shared by all connected lines</x:v>
      </x:c>
      <x:c r="D6" s="22" t="n">
        <x:v>315.85</x:v>
      </x:c>
      <x:c r="E6" s="22" t="n">
        <x:f>Inputs!$B$16</x:f>
        <x:v>315.85</x:v>
      </x:c>
      <x:c r="F6" s="22" t="n">
        <x:v>450.35</x:v>
      </x:c>
      <x:c r="G6" s="22" t="n">
        <x:f>Inputs!$B$20</x:f>
        <x:v>450.35</x:v>
      </x:c>
      <x:c r="H6" t="str">
        <x:v>J1, F1, CREASE2, CREASE12, CREASE13</x:v>
      </x:c>
    </x:row>
    <x:row r="7">
      <x:c r="A7" t="str">
        <x:v>P006</x:v>
      </x:c>
      <x:c r="B7" t="str">
        <x:v>Left base-bottom / bottom-depth start</x:v>
      </x:c>
      <x:c r="C7" t="str">
        <x:v>Dynamic anchor from Inputs; shared by all connected lines</x:v>
      </x:c>
      <x:c r="D7" s="22" t="n">
        <x:v>65.85</x:v>
      </x:c>
      <x:c r="E7" s="22" t="n">
        <x:f>Inputs!$B$15</x:f>
        <x:v>65.85</x:v>
      </x:c>
      <x:c r="F7" s="22" t="n">
        <x:v>450.35</x:v>
      </x:c>
      <x:c r="G7" s="22" t="n">
        <x:f>Inputs!$B$20</x:f>
        <x:v>450.35</x:v>
      </x:c>
      <x:c r="H7" t="str">
        <x:v>H1, E5, CREASE2, CREASE15, CREASE16</x:v>
      </x:c>
    </x:row>
    <x:row r="8">
      <x:c r="A8" t="str">
        <x:v>P007</x:v>
      </x:c>
      <x:c r="B8" t="str">
        <x:v>Right bottom of template</x:v>
      </x:c>
      <x:c r="C8" t="str">
        <x:v>Dynamic anchor from Inputs; shared by all connected lines</x:v>
      </x:c>
      <x:c r="D8" s="22" t="n">
        <x:v>315.85</x:v>
      </x:c>
      <x:c r="E8" s="22" t="n">
        <x:f>Inputs!$B$16</x:f>
        <x:v>315.85</x:v>
      </x:c>
      <x:c r="F8" s="22" t="n">
        <x:v>500.35</x:v>
      </x:c>
      <x:c r="G8" s="22" t="n">
        <x:f>Inputs!$B$21</x:f>
        <x:v>500.35</x:v>
      </x:c>
      <x:c r="H8" t="str">
        <x:v>F5, M1, CREASE12</x:v>
      </x:c>
    </x:row>
    <x:row r="9">
      <x:c r="A9" t="str">
        <x:v>P008</x:v>
      </x:c>
      <x:c r="B9" t="str">
        <x:v>Left bottom of template</x:v>
      </x:c>
      <x:c r="C9" t="str">
        <x:v>Dynamic anchor from Inputs; shared by all connected lines</x:v>
      </x:c>
      <x:c r="D9" s="22" t="n">
        <x:v>65.85</x:v>
      </x:c>
      <x:c r="E9" s="22" t="n">
        <x:f>Inputs!$B$15</x:f>
        <x:v>65.85</x:v>
      </x:c>
      <x:c r="F9" s="22" t="n">
        <x:v>500.35</x:v>
      </x:c>
      <x:c r="G9" s="22" t="n">
        <x:f>Inputs!$B$21</x:f>
        <x:v>500.35</x:v>
      </x:c>
      <x:c r="H9" t="str">
        <x:v>E1, M1, CREASE15</x:v>
      </x:c>
    </x:row>
    <x:row r="10">
      <x:c r="A10" t="str">
        <x:v>P009</x:v>
      </x:c>
      <x:c r="B10" t="str">
        <x:v>Right cover top</x:v>
      </x:c>
      <x:c r="C10" t="str">
        <x:v>Dynamic anchor from Inputs; shared by all connected lines</x:v>
      </x:c>
      <x:c r="D10" s="22" t="n">
        <x:v>315.85</x:v>
      </x:c>
      <x:c r="E10" s="22" t="n">
        <x:f>Inputs!$B$16</x:f>
        <x:v>315.85</x:v>
      </x:c>
      <x:c r="F10" s="22" t="n">
        <x:v>20.35</x:v>
      </x:c>
      <x:c r="G10" s="22" t="n">
        <x:f>Inputs!$B$17</x:f>
        <x:v>20.35</x:v>
      </x:c>
      <x:c r="H10" t="str">
        <x:v>B3, B4</x:v>
      </x:c>
    </x:row>
    <x:row r="11">
      <x:c r="A11" t="str">
        <x:v>P010</x:v>
      </x:c>
      <x:c r="B11" t="str">
        <x:v>Left cover top</x:v>
      </x:c>
      <x:c r="C11" t="str">
        <x:v>Dynamic anchor from Inputs; shared by all connected lines</x:v>
      </x:c>
      <x:c r="D11" s="22" t="n">
        <x:v>65.85</x:v>
      </x:c>
      <x:c r="E11" s="22" t="n">
        <x:f>Inputs!$B$15</x:f>
        <x:v>65.85</x:v>
      </x:c>
      <x:c r="F11" s="22" t="n">
        <x:v>20.35</x:v>
      </x:c>
      <x:c r="G11" s="22" t="n">
        <x:f>Inputs!$B$17</x:f>
        <x:v>20.35</x:v>
      </x:c>
      <x:c r="H11" t="str">
        <x:v>B1, B2</x:v>
      </x:c>
    </x:row>
    <x:row r="12">
      <x:c r="A12" t="str">
        <x:v>P011</x:v>
      </x:c>
      <x:c r="B12" t="str">
        <x:v>Top lid straight left; A5 stretches with L</x:v>
      </x:c>
      <x:c r="C12" t="str">
        <x:v>Dynamic anchor from Inputs; shared by all connected lines</x:v>
      </x:c>
      <x:c r="D12" s="22" t="n">
        <x:v>78.35</x:v>
      </x:c>
      <x:c r="E12" s="22" t="n">
        <x:f>Inputs!$B$15+12.5</x:f>
        <x:v>78.35</x:v>
      </x:c>
      <x:c r="F12" s="22" t="n">
        <x:v>0.35</x:v>
      </x:c>
      <x:c r="G12" s="22" t="n">
        <x:f>Inputs!$B$17-20</x:f>
        <x:v>0.3500000000000014</x:v>
      </x:c>
      <x:c r="H12" t="str">
        <x:v>A5</x:v>
      </x:c>
    </x:row>
    <x:row r="13">
      <x:c r="A13" t="str">
        <x:v>P012</x:v>
      </x:c>
      <x:c r="B13" t="str">
        <x:v>Top lid straight right; A5 stretches with L</x:v>
      </x:c>
      <x:c r="C13" t="str">
        <x:v>Dynamic anchor from Inputs; shared by all connected lines</x:v>
      </x:c>
      <x:c r="D13" s="22" t="n">
        <x:v>303.35</x:v>
      </x:c>
      <x:c r="E13" s="22" t="n">
        <x:f>Inputs!$B$16-12.5</x:f>
        <x:v>303.35</x:v>
      </x:c>
      <x:c r="F13" s="22" t="n">
        <x:v>0.35</x:v>
      </x:c>
      <x:c r="G13" s="22" t="n">
        <x:f>Inputs!$B$17-20</x:f>
        <x:v>0.3500000000000014</x:v>
      </x:c>
      <x:c r="H13" t="str">
        <x:v>A5</x:v>
      </x:c>
    </x:row>
    <x:row r="14">
      <x:c r="A14" t="str">
        <x:v>P013</x:v>
      </x:c>
      <x:c r="B14" t="str">
        <x:v>CREASE4 left; L-dependent</x:v>
      </x:c>
      <x:c r="C14" t="str">
        <x:v>Dynamic anchor from Inputs; shared by all connected lines</x:v>
      </x:c>
      <x:c r="D14" s="22" t="n">
        <x:v>74.85</x:v>
      </x:c>
      <x:c r="E14" s="22" t="n">
        <x:f>Inputs!$B$15+9</x:f>
        <x:v>74.85</x:v>
      </x:c>
      <x:c r="F14" s="22" t="n">
        <x:v>21.35</x:v>
      </x:c>
      <x:c r="G14" s="22" t="n">
        <x:f>Inputs!$B$17+1</x:f>
        <x:v>21.35</x:v>
      </x:c>
      <x:c r="H14" t="str">
        <x:v>CREASE4</x:v>
      </x:c>
    </x:row>
    <x:row r="15">
      <x:c r="A15" t="str">
        <x:v>P014</x:v>
      </x:c>
      <x:c r="B15" t="str">
        <x:v>CREASE4 right; L-dependent</x:v>
      </x:c>
      <x:c r="C15" t="str">
        <x:v>Dynamic anchor from Inputs; shared by all connected lines</x:v>
      </x:c>
      <x:c r="D15" s="22" t="n">
        <x:v>306.85</x:v>
      </x:c>
      <x:c r="E15" s="22" t="n">
        <x:f>Inputs!$B$16-9</x:f>
        <x:v>306.85</x:v>
      </x:c>
      <x:c r="F15" s="22" t="n">
        <x:v>21.35</x:v>
      </x:c>
      <x:c r="G15" s="22" t="n">
        <x:f>Inputs!$B$17+1</x:f>
        <x:v>21.35</x:v>
      </x:c>
      <x:c r="H15" t="str">
        <x:v>CREASE4</x:v>
      </x:c>
    </x:row>
    <x:row r="16">
      <x:c r="A16" t="str">
        <x:v>P015</x:v>
      </x:c>
      <x:c r="B16" t="str">
        <x:v>A1 top</x:v>
      </x:c>
      <x:c r="C16" t="str">
        <x:v>Dynamic anchor from Inputs; shared by all connected lines</x:v>
      </x:c>
      <x:c r="D16" s="22" t="n">
        <x:v>74.85</x:v>
      </x:c>
      <x:c r="E16" s="22" t="n">
        <x:f>Inputs!$B$15+9</x:f>
        <x:v>74.85</x:v>
      </x:c>
      <x:c r="F16" s="22" t="n">
        <x:v>20.35</x:v>
      </x:c>
      <x:c r="G16" s="22" t="n">
        <x:f>Inputs!$B$17</x:f>
        <x:v>20.35</x:v>
      </x:c>
      <x:c r="H16" t="str">
        <x:v>A1, A2</x:v>
      </x:c>
    </x:row>
    <x:row r="17">
      <x:c r="A17" t="str">
        <x:v>P016</x:v>
      </x:c>
      <x:c r="B17" t="str">
        <x:v>A1 bottom</x:v>
      </x:c>
      <x:c r="C17" t="str">
        <x:v>Dynamic anchor from Inputs; shared by all connected lines</x:v>
      </x:c>
      <x:c r="D17" s="22" t="n">
        <x:v>74.85</x:v>
      </x:c>
      <x:c r="E17" s="22" t="n">
        <x:f>Inputs!$B$15+9</x:f>
        <x:v>74.85</x:v>
      </x:c>
      <x:c r="F17" s="22" t="n">
        <x:v>22.35</x:v>
      </x:c>
      <x:c r="G17" s="22" t="n">
        <x:f>Inputs!$B$17+2</x:f>
        <x:v>22.35</x:v>
      </x:c>
      <x:c r="H17" t="str">
        <x:v>A1</x:v>
      </x:c>
    </x:row>
    <x:row r="18">
      <x:c r="A18" t="str">
        <x:v>P017</x:v>
      </x:c>
      <x:c r="B18" t="str">
        <x:v>A2/B1 connector left</x:v>
      </x:c>
      <x:c r="C18" t="str">
        <x:v>Dynamic anchor from Inputs; shared by all connected lines</x:v>
      </x:c>
      <x:c r="D18" s="22" t="n">
        <x:v>66.35</x:v>
      </x:c>
      <x:c r="E18" s="22" t="n">
        <x:f>Inputs!$B$15+0.5</x:f>
        <x:v>66.35</x:v>
      </x:c>
      <x:c r="F18" s="22" t="n">
        <x:v>20.35</x:v>
      </x:c>
      <x:c r="G18" s="22" t="n">
        <x:f>Inputs!$B$17</x:f>
        <x:v>20.35</x:v>
      </x:c>
      <x:c r="H18" t="str">
        <x:v>A2, B1</x:v>
      </x:c>
    </x:row>
    <x:row r="19">
      <x:c r="A19" t="str">
        <x:v>P018</x:v>
      </x:c>
      <x:c r="B19" t="str">
        <x:v>A9 top</x:v>
      </x:c>
      <x:c r="C19" t="str">
        <x:v>Dynamic anchor from Inputs; shared by all connected lines</x:v>
      </x:c>
      <x:c r="D19" s="22" t="n">
        <x:v>306.85</x:v>
      </x:c>
      <x:c r="E19" s="22" t="n">
        <x:f>Inputs!$B$16-9</x:f>
        <x:v>306.85</x:v>
      </x:c>
      <x:c r="F19" s="22" t="n">
        <x:v>20.35</x:v>
      </x:c>
      <x:c r="G19" s="22" t="n">
        <x:f>Inputs!$B$17</x:f>
        <x:v>20.35</x:v>
      </x:c>
      <x:c r="H19" t="str">
        <x:v>A8, A9</x:v>
      </x:c>
    </x:row>
    <x:row r="20">
      <x:c r="A20" t="str">
        <x:v>P019</x:v>
      </x:c>
      <x:c r="B20" t="str">
        <x:v>A9 bottom</x:v>
      </x:c>
      <x:c r="C20" t="str">
        <x:v>Dynamic anchor from Inputs; shared by all connected lines</x:v>
      </x:c>
      <x:c r="D20" s="22" t="n">
        <x:v>306.85</x:v>
      </x:c>
      <x:c r="E20" s="22" t="n">
        <x:f>Inputs!$B$16-9</x:f>
        <x:v>306.85</x:v>
      </x:c>
      <x:c r="F20" s="22" t="n">
        <x:v>22.35</x:v>
      </x:c>
      <x:c r="G20" s="22" t="n">
        <x:f>Inputs!$B$17+2</x:f>
        <x:v>22.35</x:v>
      </x:c>
      <x:c r="H20" t="str">
        <x:v>A9</x:v>
      </x:c>
    </x:row>
    <x:row r="21">
      <x:c r="A21" t="str">
        <x:v>P020</x:v>
      </x:c>
      <x:c r="B21" t="str">
        <x:v>A8/B3 connector right</x:v>
      </x:c>
      <x:c r="C21" t="str">
        <x:v>Dynamic anchor from Inputs; shared by all connected lines</x:v>
      </x:c>
      <x:c r="D21" s="22" t="n">
        <x:v>315.35</x:v>
      </x:c>
      <x:c r="E21" s="22" t="n">
        <x:f>Inputs!$B$16-0.5</x:f>
        <x:v>315.35</x:v>
      </x:c>
      <x:c r="F21" s="22" t="n">
        <x:v>20.35</x:v>
      </x:c>
      <x:c r="G21" s="22" t="n">
        <x:f>Inputs!$B$17</x:f>
        <x:v>20.35</x:v>
      </x:c>
      <x:c r="H21" t="str">
        <x:v>B3, A7, A8</x:v>
      </x:c>
    </x:row>
    <x:row r="22">
      <x:c r="A22" t="str">
        <x:v>P021</x:v>
      </x:c>
      <x:c r="B22" t="str">
        <x:v>A7 top</x:v>
      </x:c>
      <x:c r="C22" t="str">
        <x:v>Dynamic anchor from Inputs; shared by all connected lines</x:v>
      </x:c>
      <x:c r="D22" s="22" t="n">
        <x:v>315.35</x:v>
      </x:c>
      <x:c r="E22" s="22" t="n">
        <x:f>Inputs!$B$16-0.5</x:f>
        <x:v>315.35</x:v>
      </x:c>
      <x:c r="F22" s="22" t="n">
        <x:v>12.35</x:v>
      </x:c>
      <x:c r="G22" s="22" t="n">
        <x:f>Inputs!$B$17-8</x:f>
        <x:v>12.350000000000001</x:v>
      </x:c>
      <x:c r="H22" t="str">
        <x:v>A7</x:v>
      </x:c>
    </x:row>
    <x:row r="23">
      <x:c r="A23" t="str">
        <x:v>P022</x:v>
      </x:c>
      <x:c r="B23" t="str">
        <x:v>D5 end / D4 start</x:v>
      </x:c>
      <x:c r="C23" t="str">
        <x:v>Dynamic anchor from Inputs; shared by all connected lines</x:v>
      </x:c>
      <x:c r="D23" s="22" t="n">
        <x:v>318.85</x:v>
      </x:c>
      <x:c r="E23" s="22" t="n">
        <x:f>Inputs!$B$16+3</x:f>
        <x:v>318.85</x:v>
      </x:c>
      <x:c r="F23" s="22" t="n">
        <x:v>213.35</x:v>
      </x:c>
      <x:c r="G23" s="22" t="n">
        <x:f>Inputs!$B$18+3</x:f>
        <x:v>213.35</x:v>
      </x:c>
      <x:c r="H23" t="str">
        <x:v>D5, D4</x:v>
      </x:c>
    </x:row>
    <x:row r="24">
      <x:c r="A24" t="str">
        <x:v>P023</x:v>
      </x:c>
      <x:c r="B24" t="str">
        <x:v>D4 end / D3 start</x:v>
      </x:c>
      <x:c r="C24" t="str">
        <x:v>Dynamic anchor from Inputs; shared by all connected lines</x:v>
      </x:c>
      <x:c r="D24" s="22" t="n">
        <x:v>365.85</x:v>
      </x:c>
      <x:c r="E24" s="22" t="n">
        <x:f>Inputs!$B$16+50</x:f>
        <x:v>365.85</x:v>
      </x:c>
      <x:c r="F24" s="22" t="n">
        <x:v>213.35</x:v>
      </x:c>
      <x:c r="G24" s="22" t="n">
        <x:f>Inputs!$B$18+3</x:f>
        <x:v>213.35</x:v>
      </x:c>
      <x:c r="H24" t="str">
        <x:v>D4, D3</x:v>
      </x:c>
    </x:row>
    <x:row r="25">
      <x:c r="A25" t="str">
        <x:v>P024</x:v>
      </x:c>
      <x:c r="B25" t="str">
        <x:v>D3 end / D2 end; H-dependent</x:v>
      </x:c>
      <x:c r="C25" t="str">
        <x:v>Dynamic anchor from Inputs; shared by all connected lines</x:v>
      </x:c>
      <x:c r="D25" s="22" t="n">
        <x:v>365.85</x:v>
      </x:c>
      <x:c r="E25" s="22" t="n">
        <x:f>Inputs!$B$16+50</x:f>
        <x:v>365.85</x:v>
      </x:c>
      <x:c r="F25" s="22" t="n">
        <x:v>247.35</x:v>
      </x:c>
      <x:c r="G25" s="22" t="n">
        <x:f>Inputs!$B$19-13</x:f>
        <x:v>247.35000000000002</x:v>
      </x:c>
      <x:c r="H25" t="str">
        <x:v>D3, D2</x:v>
      </x:c>
    </x:row>
    <x:row r="26">
      <x:c r="A26" t="str">
        <x:v>P025</x:v>
      </x:c>
      <x:c r="B26" t="str">
        <x:v>D2 start / D1 end</x:v>
      </x:c>
      <x:c r="C26" t="str">
        <x:v>Dynamic anchor from Inputs; shared by all connected lines</x:v>
      </x:c>
      <x:c r="D26" s="22" t="n">
        <x:v>318.85</x:v>
      </x:c>
      <x:c r="E26" s="22" t="n">
        <x:f>Inputs!$B$16+3</x:f>
        <x:v>318.85</x:v>
      </x:c>
      <x:c r="F26" s="22" t="n">
        <x:v>257.35</x:v>
      </x:c>
      <x:c r="G26" s="22" t="n">
        <x:f>Inputs!$B$19-3</x:f>
        <x:v>257.35</x:v>
      </x:c>
      <x:c r="H26" t="str">
        <x:v>D2, D1</x:v>
      </x:c>
    </x:row>
    <x:row r="27">
      <x:c r="A27" t="str">
        <x:v>P026</x:v>
      </x:c>
      <x:c r="B27" t="str">
        <x:v>C5 end / C4 start</x:v>
      </x:c>
      <x:c r="C27" t="str">
        <x:v>Dynamic anchor from Inputs; shared by all connected lines</x:v>
      </x:c>
      <x:c r="D27" s="22" t="n">
        <x:v>62.85</x:v>
      </x:c>
      <x:c r="E27" s="22" t="n">
        <x:f>Inputs!$B$15-3</x:f>
        <x:v>62.849999999999994</x:v>
      </x:c>
      <x:c r="F27" s="22" t="n">
        <x:v>213.35</x:v>
      </x:c>
      <x:c r="G27" s="22" t="n">
        <x:f>Inputs!$B$18+3</x:f>
        <x:v>213.35</x:v>
      </x:c>
      <x:c r="H27" t="str">
        <x:v>C5, C4</x:v>
      </x:c>
    </x:row>
    <x:row r="28">
      <x:c r="A28" t="str">
        <x:v>P027</x:v>
      </x:c>
      <x:c r="B28" t="str">
        <x:v>C4 end / C3 start</x:v>
      </x:c>
      <x:c r="C28" t="str">
        <x:v>Dynamic anchor from Inputs; shared by all connected lines</x:v>
      </x:c>
      <x:c r="D28" s="22" t="n">
        <x:v>15.85</x:v>
      </x:c>
      <x:c r="E28" s="22" t="n">
        <x:f>Inputs!$B$15-50</x:f>
        <x:v>15.849999999999994</x:v>
      </x:c>
      <x:c r="F28" s="22" t="n">
        <x:v>213.35</x:v>
      </x:c>
      <x:c r="G28" s="22" t="n">
        <x:f>Inputs!$B$18+3</x:f>
        <x:v>213.35</x:v>
      </x:c>
      <x:c r="H28" t="str">
        <x:v>C4, C3</x:v>
      </x:c>
    </x:row>
    <x:row r="29">
      <x:c r="A29" t="str">
        <x:v>P028</x:v>
      </x:c>
      <x:c r="B29" t="str">
        <x:v>C3 end / C2 end; H-dependent</x:v>
      </x:c>
      <x:c r="C29" t="str">
        <x:v>Dynamic anchor from Inputs; shared by all connected lines</x:v>
      </x:c>
      <x:c r="D29" s="22" t="n">
        <x:v>15.85</x:v>
      </x:c>
      <x:c r="E29" s="22" t="n">
        <x:f>Inputs!$B$15-50</x:f>
        <x:v>15.849999999999994</x:v>
      </x:c>
      <x:c r="F29" s="22" t="n">
        <x:v>247.35</x:v>
      </x:c>
      <x:c r="G29" s="22" t="n">
        <x:f>Inputs!$B$19-13</x:f>
        <x:v>247.35000000000002</x:v>
      </x:c>
      <x:c r="H29" t="str">
        <x:v>C3, C2</x:v>
      </x:c>
    </x:row>
    <x:row r="30">
      <x:c r="A30" t="str">
        <x:v>P029</x:v>
      </x:c>
      <x:c r="B30" t="str">
        <x:v>C2 start / C1 end</x:v>
      </x:c>
      <x:c r="C30" t="str">
        <x:v>Dynamic anchor from Inputs; shared by all connected lines</x:v>
      </x:c>
      <x:c r="D30" s="22" t="n">
        <x:v>62.85</x:v>
      </x:c>
      <x:c r="E30" s="22" t="n">
        <x:f>Inputs!$B$15-3</x:f>
        <x:v>62.849999999999994</x:v>
      </x:c>
      <x:c r="F30" s="22" t="n">
        <x:v>257.35</x:v>
      </x:c>
      <x:c r="G30" s="22" t="n">
        <x:f>Inputs!$B$19-3</x:f>
        <x:v>257.35</x:v>
      </x:c>
      <x:c r="H30" t="str">
        <x:v>C2, C1</x:v>
      </x:c>
    </x:row>
    <x:row r="31">
      <x:c r="A31" t="str">
        <x:v>P030</x:v>
      </x:c>
      <x:c r="B31" t="str">
        <x:v>F1 end / F2 start</x:v>
      </x:c>
      <x:c r="C31" t="str">
        <x:v>Dynamic anchor from Inputs; shared by all connected lines</x:v>
      </x:c>
      <x:c r="D31" s="22" t="n">
        <x:v>318.85</x:v>
      </x:c>
      <x:c r="E31" s="22" t="n">
        <x:f>Inputs!$B$16+3</x:f>
        <x:v>318.85</x:v>
      </x:c>
      <x:c r="F31" s="22" t="n">
        <x:v>453.35</x:v>
      </x:c>
      <x:c r="G31" s="22" t="n">
        <x:f>Inputs!$B$20+3</x:f>
        <x:v>453.35</x:v>
      </x:c>
      <x:c r="H31" t="str">
        <x:v>F1, F2</x:v>
      </x:c>
    </x:row>
    <x:row r="32">
      <x:c r="A32" t="str">
        <x:v>P031</x:v>
      </x:c>
      <x:c r="B32" t="str">
        <x:v>F2 end / F3 end</x:v>
      </x:c>
      <x:c r="C32" t="str">
        <x:v>Dynamic anchor from Inputs; shared by all connected lines</x:v>
      </x:c>
      <x:c r="D32" s="22" t="n">
        <x:v>365.85</x:v>
      </x:c>
      <x:c r="E32" s="22" t="n">
        <x:f>Inputs!$B$16+50</x:f>
        <x:v>365.85</x:v>
      </x:c>
      <x:c r="F32" s="22" t="n">
        <x:v>463.35</x:v>
      </x:c>
      <x:c r="G32" s="22" t="n">
        <x:f>Inputs!$B$20+13</x:f>
        <x:v>463.35</x:v>
      </x:c>
      <x:c r="H32" t="str">
        <x:v>F2, F3</x:v>
      </x:c>
    </x:row>
    <x:row r="33">
      <x:c r="A33" t="str">
        <x:v>P032</x:v>
      </x:c>
      <x:c r="B33" t="str">
        <x:v>F3 start / F4 end</x:v>
      </x:c>
      <x:c r="C33" t="str">
        <x:v>Dynamic anchor from Inputs; shared by all connected lines</x:v>
      </x:c>
      <x:c r="D33" s="22" t="n">
        <x:v>365.85</x:v>
      </x:c>
      <x:c r="E33" s="22" t="n">
        <x:f>Inputs!$B$16+50</x:f>
        <x:v>365.85</x:v>
      </x:c>
      <x:c r="F33" s="22" t="n">
        <x:v>497.35</x:v>
      </x:c>
      <x:c r="G33" s="22" t="n">
        <x:f>Inputs!$B$21-3</x:f>
        <x:v>497.35</x:v>
      </x:c>
      <x:c r="H33" t="str">
        <x:v>F3, F4</x:v>
      </x:c>
    </x:row>
    <x:row r="34">
      <x:c r="A34" t="str">
        <x:v>P033</x:v>
      </x:c>
      <x:c r="B34" t="str">
        <x:v>F4 start / F5 end</x:v>
      </x:c>
      <x:c r="C34" t="str">
        <x:v>Dynamic anchor from Inputs; shared by all connected lines</x:v>
      </x:c>
      <x:c r="D34" s="22" t="n">
        <x:v>318.85</x:v>
      </x:c>
      <x:c r="E34" s="22" t="n">
        <x:f>Inputs!$B$16+3</x:f>
        <x:v>318.85</x:v>
      </x:c>
      <x:c r="F34" s="22" t="n">
        <x:v>497.35</x:v>
      </x:c>
      <x:c r="G34" s="22" t="n">
        <x:f>Inputs!$B$21-3</x:f>
        <x:v>497.35</x:v>
      </x:c>
      <x:c r="H34" t="str">
        <x:v>F4, F5</x:v>
      </x:c>
    </x:row>
    <x:row r="35">
      <x:c r="A35" t="str">
        <x:v>P034</x:v>
      </x:c>
      <x:c r="B35" t="str">
        <x:v>E5 end / E4 start</x:v>
      </x:c>
      <x:c r="C35" t="str">
        <x:v>Dynamic anchor from Inputs; shared by all connected lines</x:v>
      </x:c>
      <x:c r="D35" s="22" t="n">
        <x:v>62.85</x:v>
      </x:c>
      <x:c r="E35" s="22" t="n">
        <x:f>Inputs!$B$15-3</x:f>
        <x:v>62.849999999999994</x:v>
      </x:c>
      <x:c r="F35" s="22" t="n">
        <x:v>453.35</x:v>
      </x:c>
      <x:c r="G35" s="22" t="n">
        <x:f>Inputs!$B$20+3</x:f>
        <x:v>453.35</x:v>
      </x:c>
      <x:c r="H35" t="str">
        <x:v>E4, E5</x:v>
      </x:c>
    </x:row>
    <x:row r="36">
      <x:c r="A36" t="str">
        <x:v>P035</x:v>
      </x:c>
      <x:c r="B36" t="str">
        <x:v>E4 end / E3 end</x:v>
      </x:c>
      <x:c r="C36" t="str">
        <x:v>Dynamic anchor from Inputs; shared by all connected lines</x:v>
      </x:c>
      <x:c r="D36" s="22" t="n">
        <x:v>15.85</x:v>
      </x:c>
      <x:c r="E36" s="22" t="n">
        <x:f>Inputs!$B$15-50</x:f>
        <x:v>15.849999999999994</x:v>
      </x:c>
      <x:c r="F36" s="22" t="n">
        <x:v>463.35</x:v>
      </x:c>
      <x:c r="G36" s="22" t="n">
        <x:f>Inputs!$B$20+13</x:f>
        <x:v>463.35</x:v>
      </x:c>
      <x:c r="H36" t="str">
        <x:v>E3, E4</x:v>
      </x:c>
    </x:row>
    <x:row r="37">
      <x:c r="A37" t="str">
        <x:v>P036</x:v>
      </x:c>
      <x:c r="B37" t="str">
        <x:v>E3 start / E2 end</x:v>
      </x:c>
      <x:c r="C37" t="str">
        <x:v>Dynamic anchor from Inputs; shared by all connected lines</x:v>
      </x:c>
      <x:c r="D37" s="22" t="n">
        <x:v>15.85</x:v>
      </x:c>
      <x:c r="E37" s="22" t="n">
        <x:f>Inputs!$B$15-50</x:f>
        <x:v>15.849999999999994</x:v>
      </x:c>
      <x:c r="F37" s="22" t="n">
        <x:v>497.35</x:v>
      </x:c>
      <x:c r="G37" s="22" t="n">
        <x:f>Inputs!$B$21-3</x:f>
        <x:v>497.35</x:v>
      </x:c>
      <x:c r="H37" t="str">
        <x:v>E2, E3</x:v>
      </x:c>
    </x:row>
    <x:row r="38">
      <x:c r="A38" t="str">
        <x:v>P037</x:v>
      </x:c>
      <x:c r="B38" t="str">
        <x:v>E2 start / E1 end</x:v>
      </x:c>
      <x:c r="C38" t="str">
        <x:v>Dynamic anchor from Inputs; shared by all connected lines</x:v>
      </x:c>
      <x:c r="D38" s="22" t="n">
        <x:v>62.85</x:v>
      </x:c>
      <x:c r="E38" s="22" t="n">
        <x:f>Inputs!$B$15-3</x:f>
        <x:v>62.849999999999994</x:v>
      </x:c>
      <x:c r="F38" s="22" t="n">
        <x:v>497.35</x:v>
      </x:c>
      <x:c r="G38" s="22" t="n">
        <x:f>Inputs!$B$21-3</x:f>
        <x:v>497.35</x:v>
      </x:c>
      <x:c r="H38" t="str">
        <x:v>E1, E2</x:v>
      </x:c>
    </x:row>
    <x:row r="39">
      <x:c r="A39" t="str">
        <x:v>P038</x:v>
      </x:c>
      <x:c r="B39" t="str">
        <x:v>J4 end / J3 start</x:v>
      </x:c>
      <x:c r="C39" t="str">
        <x:v>Dynamic anchor from Inputs; shared by all connected lines</x:v>
      </x:c>
      <x:c r="D39" s="22" t="n">
        <x:v>316.85</x:v>
      </x:c>
      <x:c r="E39" s="22" t="n">
        <x:f>Inputs!$B$16+1</x:f>
        <x:v>316.85</x:v>
      </x:c>
      <x:c r="F39" s="22" t="n">
        <x:v>261.35</x:v>
      </x:c>
      <x:c r="G39" s="22" t="n">
        <x:f>Inputs!$B$19+1</x:f>
        <x:v>261.35</x:v>
      </x:c>
      <x:c r="H39" t="str">
        <x:v>J4, J3, CREASE5</x:v>
      </x:c>
    </x:row>
    <x:row r="40">
      <x:c r="A40" t="str">
        <x:v>P039</x:v>
      </x:c>
      <x:c r="B40" t="str">
        <x:v>J3 end / I4 end / crease6 top</x:v>
      </x:c>
      <x:c r="C40" t="str">
        <x:v>Dynamic anchor from Inputs; shared by all connected lines</x:v>
      </x:c>
      <x:c r="D40" s="22" t="n">
        <x:v>365.85</x:v>
      </x:c>
      <x:c r="E40" s="22" t="n">
        <x:f>Inputs!$B$16+50</x:f>
        <x:v>365.85</x:v>
      </x:c>
      <x:c r="F40" s="22" t="n">
        <x:v>261.35</x:v>
      </x:c>
      <x:c r="G40" s="22" t="n">
        <x:f>Inputs!$B$19+1</x:f>
        <x:v>261.35</x:v>
      </x:c>
      <x:c r="H40" t="str">
        <x:v>J3, I4, CREASE6</x:v>
      </x:c>
    </x:row>
    <x:row r="41">
      <x:c r="A41" t="str">
        <x:v>P040</x:v>
      </x:c>
      <x:c r="B41" t="str">
        <x:v>J2 start / J1 end</x:v>
      </x:c>
      <x:c r="C41" t="str">
        <x:v>Dynamic anchor from Inputs; shared by all connected lines</x:v>
      </x:c>
      <x:c r="D41" s="22" t="n">
        <x:v>316.85</x:v>
      </x:c>
      <x:c r="E41" s="22" t="n">
        <x:f>Inputs!$B$16+1</x:f>
        <x:v>316.85</x:v>
      </x:c>
      <x:c r="F41" s="22" t="n">
        <x:v>449.35</x:v>
      </x:c>
      <x:c r="G41" s="22" t="n">
        <x:f>Inputs!$B$20-1</x:f>
        <x:v>449.35</x:v>
      </x:c>
      <x:c r="H41" t="str">
        <x:v>J2, J1, CREASE7</x:v>
      </x:c>
    </x:row>
    <x:row r="42">
      <x:c r="A42" t="str">
        <x:v>P041</x:v>
      </x:c>
      <x:c r="B42" t="str">
        <x:v>J2 end / I1 start / crease6 bottom</x:v>
      </x:c>
      <x:c r="C42" t="str">
        <x:v>Dynamic anchor from Inputs; shared by all connected lines</x:v>
      </x:c>
      <x:c r="D42" s="22" t="n">
        <x:v>365.85</x:v>
      </x:c>
      <x:c r="E42" s="22" t="n">
        <x:f>Inputs!$B$16+50</x:f>
        <x:v>365.85</x:v>
      </x:c>
      <x:c r="F42" s="22" t="n">
        <x:v>449.35</x:v>
      </x:c>
      <x:c r="G42" s="22" t="n">
        <x:f>Inputs!$B$20-1</x:f>
        <x:v>449.35</x:v>
      </x:c>
      <x:c r="H42" t="str">
        <x:v>J2, I1, CREASE6</x:v>
      </x:c>
    </x:row>
    <x:row r="43">
      <x:c r="A43" t="str">
        <x:v>P042</x:v>
      </x:c>
      <x:c r="B43" t="str">
        <x:v>I1 end / I2 start</x:v>
      </x:c>
      <x:c r="C43" t="str">
        <x:v>Dynamic anchor from Inputs; shared by all connected lines</x:v>
      </x:c>
      <x:c r="D43" s="22" t="n">
        <x:v>371.85</x:v>
      </x:c>
      <x:c r="E43" s="22" t="n">
        <x:f>Inputs!$B$16+56</x:f>
        <x:v>371.85</x:v>
      </x:c>
      <x:c r="F43" s="22" t="n">
        <x:v>449.35</x:v>
      </x:c>
      <x:c r="G43" s="22" t="n">
        <x:f>Inputs!$B$20-1</x:f>
        <x:v>449.35</x:v>
      </x:c>
      <x:c r="H43" t="str">
        <x:v>I2, I1</x:v>
      </x:c>
    </x:row>
    <x:row r="44">
      <x:c r="A44" t="str">
        <x:v>P043</x:v>
      </x:c>
      <x:c r="B44" t="str">
        <x:v>I2 end / I3 start</x:v>
      </x:c>
      <x:c r="C44" t="str">
        <x:v>Dynamic anchor from Inputs; shared by all connected lines</x:v>
      </x:c>
      <x:c r="D44" s="22" t="n">
        <x:v>381.35</x:v>
      </x:c>
      <x:c r="E44" s="22" t="n">
        <x:f>Inputs!$B$16+65.5</x:f>
        <x:v>381.35</x:v>
      </x:c>
      <x:c r="F44" s="22" t="n">
        <x:v>445.73</x:v>
      </x:c>
      <x:c r="G44" s="22" t="n">
        <x:f>Inputs!$B$20-4.62</x:f>
        <x:v>445.73</x:v>
      </x:c>
      <x:c r="H44" t="str">
        <x:v>I3, I2</x:v>
      </x:c>
    </x:row>
    <x:row r="45">
      <x:c r="A45" t="str">
        <x:v>P044</x:v>
      </x:c>
      <x:c r="B45" t="str">
        <x:v>I3 end / I4 start</x:v>
      </x:c>
      <x:c r="C45" t="str">
        <x:v>Dynamic anchor from Inputs; shared by all connected lines</x:v>
      </x:c>
      <x:c r="D45" s="22" t="n">
        <x:v>381.35</x:v>
      </x:c>
      <x:c r="E45" s="22" t="n">
        <x:f>Inputs!$B$16+65.5</x:f>
        <x:v>381.35</x:v>
      </x:c>
      <x:c r="F45" s="22" t="n">
        <x:v>264.97</x:v>
      </x:c>
      <x:c r="G45" s="22" t="n">
        <x:f>Inputs!$B$19+4.62</x:f>
        <x:v>264.97</x:v>
      </x:c>
      <x:c r="H45" t="str">
        <x:v>I4, I3</x:v>
      </x:c>
    </x:row>
    <x:row r="46">
      <x:c r="A46" t="str">
        <x:v>P045</x:v>
      </x:c>
      <x:c r="B46" t="str">
        <x:v>H4 end / H3 start</x:v>
      </x:c>
      <x:c r="C46" t="str">
        <x:v>Dynamic anchor from Inputs; shared by all connected lines</x:v>
      </x:c>
      <x:c r="D46" s="22" t="n">
        <x:v>64.85</x:v>
      </x:c>
      <x:c r="E46" s="22" t="n">
        <x:f>Inputs!$B$15-1</x:f>
        <x:v>64.85</x:v>
      </x:c>
      <x:c r="F46" s="22" t="n">
        <x:v>261.35</x:v>
      </x:c>
      <x:c r="G46" s="22" t="n">
        <x:f>Inputs!$B$19+1</x:f>
        <x:v>261.35</x:v>
      </x:c>
      <x:c r="H46" t="str">
        <x:v>H4, H3, CREASE8</x:v>
      </x:c>
    </x:row>
    <x:row r="47">
      <x:c r="A47" t="str">
        <x:v>P046</x:v>
      </x:c>
      <x:c r="B47" t="str">
        <x:v>H3 end / G4 end / crease9 top</x:v>
      </x:c>
      <x:c r="C47" t="str">
        <x:v>Dynamic anchor from Inputs; shared by all connected lines</x:v>
      </x:c>
      <x:c r="D47" s="22" t="n">
        <x:v>15.85</x:v>
      </x:c>
      <x:c r="E47" s="22" t="n">
        <x:f>Inputs!$B$15-50</x:f>
        <x:v>15.849999999999994</x:v>
      </x:c>
      <x:c r="F47" s="22" t="n">
        <x:v>261.35</x:v>
      </x:c>
      <x:c r="G47" s="22" t="n">
        <x:f>Inputs!$B$19+1</x:f>
        <x:v>261.35</x:v>
      </x:c>
      <x:c r="H47" t="str">
        <x:v>H3, G4, CREASE9</x:v>
      </x:c>
    </x:row>
    <x:row r="48">
      <x:c r="A48" t="str">
        <x:v>P047</x:v>
      </x:c>
      <x:c r="B48" t="str">
        <x:v>H2 start / H1 end</x:v>
      </x:c>
      <x:c r="C48" t="str">
        <x:v>Dynamic anchor from Inputs; shared by all connected lines</x:v>
      </x:c>
      <x:c r="D48" s="22" t="n">
        <x:v>64.85</x:v>
      </x:c>
      <x:c r="E48" s="22" t="n">
        <x:f>Inputs!$B$15-1</x:f>
        <x:v>64.85</x:v>
      </x:c>
      <x:c r="F48" s="22" t="n">
        <x:v>449.35</x:v>
      </x:c>
      <x:c r="G48" s="22" t="n">
        <x:f>Inputs!$B$20-1</x:f>
        <x:v>449.35</x:v>
      </x:c>
      <x:c r="H48" t="str">
        <x:v>H2, H1, CREASE10</x:v>
      </x:c>
    </x:row>
    <x:row r="49">
      <x:c r="A49" t="str">
        <x:v>P048</x:v>
      </x:c>
      <x:c r="B49" t="str">
        <x:v>H2 end / G1 start / crease9 bottom</x:v>
      </x:c>
      <x:c r="C49" t="str">
        <x:v>Dynamic anchor from Inputs; shared by all connected lines</x:v>
      </x:c>
      <x:c r="D49" s="22" t="n">
        <x:v>15.85</x:v>
      </x:c>
      <x:c r="E49" s="22" t="n">
        <x:f>Inputs!$B$15-50</x:f>
        <x:v>15.849999999999994</x:v>
      </x:c>
      <x:c r="F49" s="22" t="n">
        <x:v>449.35</x:v>
      </x:c>
      <x:c r="G49" s="22" t="n">
        <x:f>Inputs!$B$20-1</x:f>
        <x:v>449.35</x:v>
      </x:c>
      <x:c r="H49" t="str">
        <x:v>H2, G1, CREASE9</x:v>
      </x:c>
    </x:row>
    <x:row r="50">
      <x:c r="A50" t="str">
        <x:v>P049</x:v>
      </x:c>
      <x:c r="B50" t="str">
        <x:v>G1 end / G2 start</x:v>
      </x:c>
      <x:c r="C50" t="str">
        <x:v>Dynamic anchor from Inputs; shared by all connected lines</x:v>
      </x:c>
      <x:c r="D50" s="22" t="n">
        <x:v>9.85</x:v>
      </x:c>
      <x:c r="E50" s="22" t="n">
        <x:f>Inputs!$B$15-56</x:f>
        <x:v>9.849999999999994</x:v>
      </x:c>
      <x:c r="F50" s="22" t="n">
        <x:v>449.35</x:v>
      </x:c>
      <x:c r="G50" s="22" t="n">
        <x:f>Inputs!$B$20-1</x:f>
        <x:v>449.35</x:v>
      </x:c>
      <x:c r="H50" t="str">
        <x:v>G2, G1</x:v>
      </x:c>
    </x:row>
    <x:row r="51">
      <x:c r="A51" t="str">
        <x:v>P050</x:v>
      </x:c>
      <x:c r="B51" t="str">
        <x:v>G2 end / G3 start</x:v>
      </x:c>
      <x:c r="C51" t="str">
        <x:v>Dynamic anchor from Inputs; shared by all connected lines</x:v>
      </x:c>
      <x:c r="D51" s="22" t="n">
        <x:v>0.35</x:v>
      </x:c>
      <x:c r="E51" s="22" t="n">
        <x:f>Inputs!$B$15-65.5</x:f>
        <x:v>0.3499999999999943</x:v>
      </x:c>
      <x:c r="F51" s="22" t="n">
        <x:v>445.73</x:v>
      </x:c>
      <x:c r="G51" s="22" t="n">
        <x:f>Inputs!$B$20-4.62</x:f>
        <x:v>445.73</x:v>
      </x:c>
      <x:c r="H51" t="str">
        <x:v>G3, G2</x:v>
      </x:c>
    </x:row>
    <x:row r="52">
      <x:c r="A52" t="str">
        <x:v>P051</x:v>
      </x:c>
      <x:c r="B52" t="str">
        <x:v>G3 end / G4 start</x:v>
      </x:c>
      <x:c r="C52" t="str">
        <x:v>Dynamic anchor from Inputs; shared by all connected lines</x:v>
      </x:c>
      <x:c r="D52" s="22" t="n">
        <x:v>0.35</x:v>
      </x:c>
      <x:c r="E52" s="22" t="n">
        <x:f>Inputs!$B$15-65.5</x:f>
        <x:v>0.3499999999999943</x:v>
      </x:c>
      <x:c r="F52" s="22" t="n">
        <x:v>264.97</x:v>
      </x:c>
      <x:c r="G52" s="22" t="n">
        <x:f>Inputs!$B$19+4.62</x:f>
        <x:v>264.97</x:v>
      </x:c>
      <x:c r="H52" t="str">
        <x:v>G4, G3</x:v>
      </x:c>
    </x:row>
    <x:row r="53">
      <x:c r="A53" t="str">
        <x:v>P052</x:v>
      </x:c>
      <x:c r="B53" t="str">
        <x:v>CREASE5 end; 45 degrees</x:v>
      </x:c>
      <x:c r="C53" t="str">
        <x:v>Dynamic anchor from Inputs; shared by all connected lines</x:v>
      </x:c>
      <x:c r="D53" s="22" t="n">
        <x:v>381.35</x:v>
      </x:c>
      <x:c r="E53" s="22" t="n">
        <x:f>Inputs!$B$16+65.5</x:f>
        <x:v>381.35</x:v>
      </x:c>
      <x:c r="F53" s="22" t="n">
        <x:v>325.85</x:v>
      </x:c>
      <x:c r="G53" s="22" t="n">
        <x:f>Inputs!$B$19+65.5</x:f>
        <x:v>325.85</x:v>
      </x:c>
      <x:c r="H53" t="str">
        <x:v>CREASE5</x:v>
      </x:c>
    </x:row>
    <x:row r="54">
      <x:c r="A54" t="str">
        <x:v>P053</x:v>
      </x:c>
      <x:c r="B54" t="str">
        <x:v>CREASE7 end; 45 degrees</x:v>
      </x:c>
      <x:c r="C54" t="str">
        <x:v>Dynamic anchor from Inputs; shared by all connected lines</x:v>
      </x:c>
      <x:c r="D54" s="22" t="n">
        <x:v>381.35</x:v>
      </x:c>
      <x:c r="E54" s="22" t="n">
        <x:f>Inputs!$B$16+65.5</x:f>
        <x:v>381.35</x:v>
      </x:c>
      <x:c r="F54" s="22" t="n">
        <x:v>384.85</x:v>
      </x:c>
      <x:c r="G54" s="22" t="n">
        <x:f>Inputs!$B$20-65.5</x:f>
        <x:v>384.85</x:v>
      </x:c>
      <x:c r="H54" t="str">
        <x:v>CREASE7</x:v>
      </x:c>
    </x:row>
    <x:row r="55">
      <x:c r="A55" t="str">
        <x:v>P054</x:v>
      </x:c>
      <x:c r="B55" t="str">
        <x:v>CREASE8 end; 45 degrees</x:v>
      </x:c>
      <x:c r="C55" t="str">
        <x:v>Dynamic anchor from Inputs; shared by all connected lines</x:v>
      </x:c>
      <x:c r="D55" s="22" t="n">
        <x:v>0.35</x:v>
      </x:c>
      <x:c r="E55" s="22" t="n">
        <x:f>Inputs!$B$15-65.5</x:f>
        <x:v>0.3499999999999943</x:v>
      </x:c>
      <x:c r="F55" s="22" t="n">
        <x:v>325.85</x:v>
      </x:c>
      <x:c r="G55" s="22" t="n">
        <x:f>Inputs!$B$19+65.5</x:f>
        <x:v>325.85</x:v>
      </x:c>
      <x:c r="H55" t="str">
        <x:v>CREASE8</x:v>
      </x:c>
    </x:row>
    <x:row r="56">
      <x:c r="A56" t="str">
        <x:v>P055</x:v>
      </x:c>
      <x:c r="B56" t="str">
        <x:v>CREASE10 end; 45 degrees</x:v>
      </x:c>
      <x:c r="C56" t="str">
        <x:v>Dynamic anchor from Inputs; shared by all connected lines</x:v>
      </x:c>
      <x:c r="D56" s="22" t="n">
        <x:v>0.35</x:v>
      </x:c>
      <x:c r="E56" s="22" t="n">
        <x:f>Inputs!$B$15-65.5</x:f>
        <x:v>0.3499999999999943</x:v>
      </x:c>
      <x:c r="F56" s="22" t="n">
        <x:v>384.85</x:v>
      </x:c>
      <x:c r="G56" s="22" t="n">
        <x:f>Inputs!$B$20-65.5</x:f>
        <x:v>384.85</x:v>
      </x:c>
      <x:c r="H56" t="str">
        <x:v>CREASE10</x:v>
      </x:c>
    </x:row>
  </x:sheetData>
  <x:pageMargins left="0.7" right="0.7" top="0.75" bottom="0.75" header="0.3" footer="0.3"/>
  <x:tableParts count="1">
    <x:tablePart xmlns:r="http://schemas.openxmlformats.org/officeDocument/2006/relationships" r:id="Rf196a04b6b4243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7.130000114440918" hidden="0" customWidth="1"/>
    <x:col min="3" max="3" width="15" hidden="0" customWidth="1"/>
    <x:col min="4" max="4" width="11.630000114440918" hidden="0" customWidth="1"/>
    <x:col min="5" max="5" width="10.880000114440918" hidden="0" customWidth="1"/>
    <x:col min="6" max="6" width="12.630000114440918" hidden="0" customWidth="1"/>
    <x:col min="7" max="7" width="12.630000114440918" hidden="0" customWidth="1"/>
    <x:col min="8" max="8" width="12.630000114440918" hidden="0" customWidth="1"/>
    <x:col min="9" max="9" width="12.630000114440918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2.25" hidden="0" customWidth="1"/>
    <x:col min="14" max="14" width="9.130000114440918" hidden="0" customWidth="1"/>
    <x:col min="15" max="15" width="9" hidden="0" customWidth="1"/>
    <x:col min="16" max="16" width="12.130000114440918" hidden="0" customWidth="1"/>
    <x:col min="17" max="17" width="14.630000114440918" hidden="0" customWidth="1"/>
    <x:col min="18" max="18" width="24.8799991607666" hidden="0" customWidth="1"/>
    <x:col min="19" max="19" width="36.75" hidden="0" customWidth="1"/>
    <x:col min="20" max="20" width="75.25" hidden="0" customWidth="1"/>
  </x:cols>
  <x:sheetData>
    <x:row r="1">
      <x:c r="A1" s="33" t="str">
        <x:v>Line_ID</x:v>
      </x:c>
      <x:c r="B1" s="33" t="str">
        <x:v>Layer</x:v>
      </x:c>
      <x:c r="C1" s="33" t="str">
        <x:v>Source_Object</x:v>
      </x:c>
      <x:c r="D1" s="33" t="str">
        <x:v>Start_Point</x:v>
      </x:c>
      <x:c r="E1" s="33" t="str">
        <x:v>End_Point</x:v>
      </x:c>
      <x:c r="F1" s="33" t="str">
        <x:v>X1_dyn_mm</x:v>
      </x:c>
      <x:c r="G1" s="33" t="str">
        <x:v>Y1_dyn_mm</x:v>
      </x:c>
      <x:c r="H1" s="33" t="str">
        <x:v>X2_dyn_mm</x:v>
      </x:c>
      <x:c r="I1" s="33" t="str">
        <x:v>Y2_dyn_mm</x:v>
      </x:c>
      <x:c r="J1" s="33" t="str">
        <x:v>Ref_X1_mm</x:v>
      </x:c>
      <x:c r="K1" s="33" t="str">
        <x:v>Ref_Y1_mm</x:v>
      </x:c>
      <x:c r="L1" s="33" t="str">
        <x:v>Ref_X2_mm</x:v>
      </x:c>
      <x:c r="M1" s="33" t="str">
        <x:v>Ref_Y2_mm</x:v>
      </x:c>
      <x:c r="N1" s="33" t="str">
        <x:v>DX_mm</x:v>
      </x:c>
      <x:c r="O1" s="33" t="str">
        <x:v>DY_mm</x:v>
      </x:c>
      <x:c r="P1" s="33" t="str">
        <x:v>Length_mm</x:v>
      </x:c>
      <x:c r="Q1" s="33" t="str">
        <x:v>Angle_abs_deg</x:v>
      </x:c>
      <x:c r="R1" s="33" t="str">
        <x:v>Affected_By</x:v>
      </x:c>
      <x:c r="S1" s="33" t="str">
        <x:v>Angle_Rule</x:v>
      </x:c>
      <x:c r="T1" s="33" t="str">
        <x:v>Connectivity / Build Note</x:v>
      </x:c>
    </x:row>
    <x:row r="2">
      <x:c r="A2" s="34" t="str">
        <x:v>A1</x:v>
      </x:c>
      <x:c r="B2" s="34" t="str">
        <x:v>CUT</x:v>
      </x:c>
      <x:c r="C2" s="34" t="str">
        <x:v>CUT_31_object</x:v>
      </x:c>
      <x:c r="D2" s="34" t="str">
        <x:v>P016</x:v>
      </x:c>
      <x:c r="E2" s="34" t="str">
        <x:v>P015</x:v>
      </x:c>
      <x:c r="F2" s="35" t="n">
        <x:f>XLOOKUP(D2,Dynamic_Points!$A:$A,Dynamic_Points!$E:$E)</x:f>
        <x:v>74.85</x:v>
      </x:c>
      <x:c r="G2" s="35" t="n">
        <x:f>XLOOKUP(D2,Dynamic_Points!$A:$A,Dynamic_Points!$G:$G)</x:f>
        <x:v>22.35</x:v>
      </x:c>
      <x:c r="H2" s="35" t="n">
        <x:f>XLOOKUP(E2,Dynamic_Points!$A:$A,Dynamic_Points!$E:$E)</x:f>
        <x:v>74.85</x:v>
      </x:c>
      <x:c r="I2" s="35" t="n">
        <x:f>XLOOKUP(E2,Dynamic_Points!$A:$A,Dynamic_Points!$G:$G)</x:f>
        <x:v>20.35</x:v>
      </x:c>
      <x:c r="J2" s="35" t="n">
        <x:v>74.85</x:v>
      </x:c>
      <x:c r="K2" s="35" t="n">
        <x:v>22.35</x:v>
      </x:c>
      <x:c r="L2" s="35" t="n">
        <x:v>74.85</x:v>
      </x:c>
      <x:c r="M2" s="35" t="n">
        <x:v>20.35</x:v>
      </x:c>
      <x:c r="N2" s="35" t="n">
        <x:f>H2-F2</x:f>
        <x:v>0</x:v>
      </x:c>
      <x:c r="O2" s="35" t="n">
        <x:f>I2-G2</x:f>
        <x:v>-2</x:v>
      </x:c>
      <x:c r="P2" s="35" t="n">
        <x:f>SQRT(N2^2+O2^2)</x:f>
        <x:v>2</x:v>
      </x:c>
      <x:c r="Q2" s="35" t="n">
        <x:f>IFERROR(ABS(DEGREES(ATAN(O2/N2))),IF(O2=0,0,90))</x:f>
        <x:v>90</x:v>
      </x:c>
      <x:c r="R2" s="34" t="str">
        <x:v>Fixed offset linked to L left</x:v>
      </x:c>
      <x:c r="S2" s="34" t="str">
        <x:v>Vertical fixed 2mm</x:v>
      </x:c>
      <x:c r="T2" s="34" t="str">
        <x:v>Left small vertical at lid start</x:v>
      </x:c>
    </x:row>
    <x:row r="3">
      <x:c r="A3" s="34" t="str">
        <x:v>A2</x:v>
      </x:c>
      <x:c r="B3" s="34" t="str">
        <x:v>CUT</x:v>
      </x:c>
      <x:c r="C3" s="34" t="str">
        <x:v>CUT_30_object-2</x:v>
      </x:c>
      <x:c r="D3" s="34" t="str">
        <x:v>P015</x:v>
      </x:c>
      <x:c r="E3" s="34" t="str">
        <x:v>P017</x:v>
      </x:c>
      <x:c r="F3" s="35" t="n">
        <x:f>XLOOKUP(D3,Dynamic_Points!$A:$A,Dynamic_Points!$E:$E)</x:f>
        <x:v>74.85</x:v>
      </x:c>
      <x:c r="G3" s="35" t="n">
        <x:f>XLOOKUP(D3,Dynamic_Points!$A:$A,Dynamic_Points!$G:$G)</x:f>
        <x:v>20.35</x:v>
      </x:c>
      <x:c r="H3" s="35" t="n">
        <x:f>XLOOKUP(E3,Dynamic_Points!$A:$A,Dynamic_Points!$E:$E)</x:f>
        <x:v>66.35</x:v>
      </x:c>
      <x:c r="I3" s="35" t="n">
        <x:f>XLOOKUP(E3,Dynamic_Points!$A:$A,Dynamic_Points!$G:$G)</x:f>
        <x:v>20.35</x:v>
      </x:c>
      <x:c r="J3" s="35" t="n">
        <x:v>74.85</x:v>
      </x:c>
      <x:c r="K3" s="35" t="n">
        <x:v>20.35</x:v>
      </x:c>
      <x:c r="L3" s="35" t="n">
        <x:v>66.35</x:v>
      </x:c>
      <x:c r="M3" s="35" t="n">
        <x:v>20.35</x:v>
      </x:c>
      <x:c r="N3" s="35" t="n">
        <x:f>H3-F3</x:f>
        <x:v>-8.5</x:v>
      </x:c>
      <x:c r="O3" s="35" t="n">
        <x:f>I3-G3</x:f>
        <x:v>0</x:v>
      </x:c>
      <x:c r="P3" s="35" t="n">
        <x:f>SQRT(N3^2+O3^2)</x:f>
        <x:v>8.5</x:v>
      </x:c>
      <x:c r="Q3" s="35" t="n">
        <x:f>IFERROR(ABS(DEGREES(ATAN(O3/N3))),IF(O3=0,0,90))</x:f>
        <x:v>0</x:v>
      </x:c>
      <x:c r="R3" s="34" t="str">
        <x:v>Linked to L left</x:v>
      </x:c>
      <x:c r="S3" s="34" t="str">
        <x:v>Horizontal fixed 8.5mm</x:v>
      </x:c>
      <x:c r="T3" s="34" t="str">
        <x:v>Left top short segment</x:v>
      </x:c>
    </x:row>
    <x:row r="4">
      <x:c r="A4" s="34" t="str">
        <x:v>B1</x:v>
      </x:c>
      <x:c r="B4" s="34" t="str">
        <x:v>CUT</x:v>
      </x:c>
      <x:c r="C4" s="34" t="str">
        <x:v>CUT_30_object</x:v>
      </x:c>
      <x:c r="D4" s="34" t="str">
        <x:v>P017</x:v>
      </x:c>
      <x:c r="E4" s="34" t="str">
        <x:v>P010</x:v>
      </x:c>
      <x:c r="F4" s="35" t="n">
        <x:f>XLOOKUP(D4,Dynamic_Points!$A:$A,Dynamic_Points!$E:$E)</x:f>
        <x:v>66.35</x:v>
      </x:c>
      <x:c r="G4" s="35" t="n">
        <x:f>XLOOKUP(D4,Dynamic_Points!$A:$A,Dynamic_Points!$G:$G)</x:f>
        <x:v>20.35</x:v>
      </x:c>
      <x:c r="H4" s="35" t="n">
        <x:f>XLOOKUP(E4,Dynamic_Points!$A:$A,Dynamic_Points!$E:$E)</x:f>
        <x:v>65.85</x:v>
      </x:c>
      <x:c r="I4" s="35" t="n">
        <x:f>XLOOKUP(E4,Dynamic_Points!$A:$A,Dynamic_Points!$G:$G)</x:f>
        <x:v>20.35</x:v>
      </x:c>
      <x:c r="J4" s="35" t="n">
        <x:v>66.35</x:v>
      </x:c>
      <x:c r="K4" s="35" t="n">
        <x:v>20.35</x:v>
      </x:c>
      <x:c r="L4" s="35" t="n">
        <x:v>65.85</x:v>
      </x:c>
      <x:c r="M4" s="35" t="n">
        <x:v>20.35</x:v>
      </x:c>
      <x:c r="N4" s="35" t="n">
        <x:f>H4-F4</x:f>
        <x:v>-0.5</x:v>
      </x:c>
      <x:c r="O4" s="35" t="n">
        <x:f>I4-G4</x:f>
        <x:v>0</x:v>
      </x:c>
      <x:c r="P4" s="35" t="n">
        <x:f>SQRT(N4^2+O4^2)</x:f>
        <x:v>0.5</x:v>
      </x:c>
      <x:c r="Q4" s="35" t="n">
        <x:f>IFERROR(ABS(DEGREES(ATAN(O4/N4))),IF(O4=0,0,90))</x:f>
        <x:v>0</x:v>
      </x:c>
      <x:c r="R4" s="34" t="str">
        <x:v>Linked to L left</x:v>
      </x:c>
      <x:c r="S4" s="34" t="str">
        <x:v>Horizontal fixed 0.5mm</x:v>
      </x:c>
      <x:c r="T4" s="34" t="str">
        <x:v>Left cover top connector</x:v>
      </x:c>
    </x:row>
    <x:row r="5">
      <x:c r="A5" s="34" t="str">
        <x:v>B2</x:v>
      </x:c>
      <x:c r="B5" s="34" t="str">
        <x:v>CUT</x:v>
      </x:c>
      <x:c r="C5" s="34" t="str">
        <x:v>CUT_17_object</x:v>
      </x:c>
      <x:c r="D5" s="34" t="str">
        <x:v>P010</x:v>
      </x:c>
      <x:c r="E5" s="34" t="str">
        <x:v>P004</x:v>
      </x:c>
      <x:c r="F5" s="35" t="n">
        <x:f>XLOOKUP(D5,Dynamic_Points!$A:$A,Dynamic_Points!$E:$E)</x:f>
        <x:v>65.85</x:v>
      </x:c>
      <x:c r="G5" s="35" t="n">
        <x:f>XLOOKUP(D5,Dynamic_Points!$A:$A,Dynamic_Points!$G:$G)</x:f>
        <x:v>20.35</x:v>
      </x:c>
      <x:c r="H5" s="35" t="n">
        <x:f>XLOOKUP(E5,Dynamic_Points!$A:$A,Dynamic_Points!$E:$E)</x:f>
        <x:v>65.85</x:v>
      </x:c>
      <x:c r="I5" s="35" t="n">
        <x:f>XLOOKUP(E5,Dynamic_Points!$A:$A,Dynamic_Points!$G:$G)</x:f>
        <x:v>210.35</x:v>
      </x:c>
      <x:c r="J5" s="35" t="n">
        <x:v>65.85</x:v>
      </x:c>
      <x:c r="K5" s="35" t="n">
        <x:v>20.35</x:v>
      </x:c>
      <x:c r="L5" s="35" t="n">
        <x:v>65.85</x:v>
      </x:c>
      <x:c r="M5" s="35" t="n">
        <x:v>210.35</x:v>
      </x:c>
      <x:c r="N5" s="35" t="n">
        <x:f>H5-F5</x:f>
        <x:v>0</x:v>
      </x:c>
      <x:c r="O5" s="35" t="n">
        <x:f>I5-G5</x:f>
        <x:v>190</x:v>
      </x:c>
      <x:c r="P5" s="35" t="n">
        <x:f>SQRT(N5^2+O5^2)</x:f>
        <x:v>190</x:v>
      </x:c>
      <x:c r="Q5" s="35" t="n">
        <x:f>IFERROR(ABS(DEGREES(ATAN(O5/N5))),IF(O5=0,0,90))</x:f>
        <x:v>90</x:v>
      </x:c>
      <x:c r="R5" s="34" t="str">
        <x:v>W</x:v>
      </x:c>
      <x:c r="S5" s="34" t="str">
        <x:v>Vertical length = W</x:v>
      </x:c>
      <x:c r="T5" s="34" t="str">
        <x:v>Left cover side stretches with W</x:v>
      </x:c>
    </x:row>
    <x:row r="6">
      <x:c r="A6" s="34" t="str">
        <x:v>B3</x:v>
      </x:c>
      <x:c r="B6" s="34" t="str">
        <x:v>CUT</x:v>
      </x:c>
      <x:c r="C6" s="34" t="str">
        <x:v>CUT_13_object</x:v>
      </x:c>
      <x:c r="D6" s="34" t="str">
        <x:v>P020</x:v>
      </x:c>
      <x:c r="E6" s="34" t="str">
        <x:v>P009</x:v>
      </x:c>
      <x:c r="F6" s="35" t="n">
        <x:f>XLOOKUP(D6,Dynamic_Points!$A:$A,Dynamic_Points!$E:$E)</x:f>
        <x:v>315.35</x:v>
      </x:c>
      <x:c r="G6" s="35" t="n">
        <x:f>XLOOKUP(D6,Dynamic_Points!$A:$A,Dynamic_Points!$G:$G)</x:f>
        <x:v>20.35</x:v>
      </x:c>
      <x:c r="H6" s="35" t="n">
        <x:f>XLOOKUP(E6,Dynamic_Points!$A:$A,Dynamic_Points!$E:$E)</x:f>
        <x:v>315.85</x:v>
      </x:c>
      <x:c r="I6" s="35" t="n">
        <x:f>XLOOKUP(E6,Dynamic_Points!$A:$A,Dynamic_Points!$G:$G)</x:f>
        <x:v>20.35</x:v>
      </x:c>
      <x:c r="J6" s="35" t="n">
        <x:v>315.35</x:v>
      </x:c>
      <x:c r="K6" s="35" t="n">
        <x:v>20.35</x:v>
      </x:c>
      <x:c r="L6" s="35" t="n">
        <x:v>315.85</x:v>
      </x:c>
      <x:c r="M6" s="35" t="n">
        <x:v>20.35</x:v>
      </x:c>
      <x:c r="N6" s="35" t="n">
        <x:f>H6-F6</x:f>
        <x:v>0.5</x:v>
      </x:c>
      <x:c r="O6" s="35" t="n">
        <x:f>I6-G6</x:f>
        <x:v>0</x:v>
      </x:c>
      <x:c r="P6" s="35" t="n">
        <x:f>SQRT(N6^2+O6^2)</x:f>
        <x:v>0.5</x:v>
      </x:c>
      <x:c r="Q6" s="35" t="n">
        <x:f>IFERROR(ABS(DEGREES(ATAN(O6/N6))),IF(O6=0,0,90))</x:f>
        <x:v>0</x:v>
      </x:c>
      <x:c r="R6" s="34" t="str">
        <x:v>Linked to L right</x:v>
      </x:c>
      <x:c r="S6" s="34" t="str">
        <x:v>Horizontal fixed 0.5mm</x:v>
      </x:c>
      <x:c r="T6" s="34" t="str">
        <x:v>Right cover top connector</x:v>
      </x:c>
    </x:row>
    <x:row r="7">
      <x:c r="A7" s="34" t="str">
        <x:v>B4</x:v>
      </x:c>
      <x:c r="B7" s="34" t="str">
        <x:v>CUT</x:v>
      </x:c>
      <x:c r="C7" s="34" t="str">
        <x:v>CUT_2_object</x:v>
      </x:c>
      <x:c r="D7" s="34" t="str">
        <x:v>P009</x:v>
      </x:c>
      <x:c r="E7" s="34" t="str">
        <x:v>P003</x:v>
      </x:c>
      <x:c r="F7" s="35" t="n">
        <x:f>XLOOKUP(D7,Dynamic_Points!$A:$A,Dynamic_Points!$E:$E)</x:f>
        <x:v>315.85</x:v>
      </x:c>
      <x:c r="G7" s="35" t="n">
        <x:f>XLOOKUP(D7,Dynamic_Points!$A:$A,Dynamic_Points!$G:$G)</x:f>
        <x:v>20.35</x:v>
      </x:c>
      <x:c r="H7" s="35" t="n">
        <x:f>XLOOKUP(E7,Dynamic_Points!$A:$A,Dynamic_Points!$E:$E)</x:f>
        <x:v>315.85</x:v>
      </x:c>
      <x:c r="I7" s="35" t="n">
        <x:f>XLOOKUP(E7,Dynamic_Points!$A:$A,Dynamic_Points!$G:$G)</x:f>
        <x:v>210.35</x:v>
      </x:c>
      <x:c r="J7" s="35" t="n">
        <x:v>315.85</x:v>
      </x:c>
      <x:c r="K7" s="35" t="n">
        <x:v>20.35</x:v>
      </x:c>
      <x:c r="L7" s="35" t="n">
        <x:v>315.85</x:v>
      </x:c>
      <x:c r="M7" s="35" t="n">
        <x:v>210.35</x:v>
      </x:c>
      <x:c r="N7" s="35" t="n">
        <x:f>H7-F7</x:f>
        <x:v>0</x:v>
      </x:c>
      <x:c r="O7" s="35" t="n">
        <x:f>I7-G7</x:f>
        <x:v>190</x:v>
      </x:c>
      <x:c r="P7" s="35" t="n">
        <x:f>SQRT(N7^2+O7^2)</x:f>
        <x:v>190</x:v>
      </x:c>
      <x:c r="Q7" s="35" t="n">
        <x:f>IFERROR(ABS(DEGREES(ATAN(O7/N7))),IF(O7=0,0,90))</x:f>
        <x:v>90</x:v>
      </x:c>
      <x:c r="R7" s="34" t="str">
        <x:v>W</x:v>
      </x:c>
      <x:c r="S7" s="34" t="str">
        <x:v>Vertical length = W</x:v>
      </x:c>
      <x:c r="T7" s="34" t="str">
        <x:v>Right cover side stretches with W</x:v>
      </x:c>
    </x:row>
    <x:row r="8">
      <x:c r="A8" s="34" t="str">
        <x:v>A7</x:v>
      </x:c>
      <x:c r="B8" s="34" t="str">
        <x:v>CUT</x:v>
      </x:c>
      <x:c r="C8" s="34" t="str">
        <x:v>CUT_12_object</x:v>
      </x:c>
      <x:c r="D8" s="34" t="str">
        <x:v>P021</x:v>
      </x:c>
      <x:c r="E8" s="34" t="str">
        <x:v>P020</x:v>
      </x:c>
      <x:c r="F8" s="35" t="n">
        <x:f>XLOOKUP(D8,Dynamic_Points!$A:$A,Dynamic_Points!$E:$E)</x:f>
        <x:v>315.35</x:v>
      </x:c>
      <x:c r="G8" s="35" t="n">
        <x:f>XLOOKUP(D8,Dynamic_Points!$A:$A,Dynamic_Points!$G:$G)</x:f>
        <x:v>12.350000000000001</x:v>
      </x:c>
      <x:c r="H8" s="35" t="n">
        <x:f>XLOOKUP(E8,Dynamic_Points!$A:$A,Dynamic_Points!$E:$E)</x:f>
        <x:v>315.35</x:v>
      </x:c>
      <x:c r="I8" s="35" t="n">
        <x:f>XLOOKUP(E8,Dynamic_Points!$A:$A,Dynamic_Points!$G:$G)</x:f>
        <x:v>20.35</x:v>
      </x:c>
      <x:c r="J8" s="35" t="n">
        <x:v>315.35</x:v>
      </x:c>
      <x:c r="K8" s="35" t="n">
        <x:v>12.35</x:v>
      </x:c>
      <x:c r="L8" s="35" t="n">
        <x:v>315.35</x:v>
      </x:c>
      <x:c r="M8" s="35" t="n">
        <x:v>20.35</x:v>
      </x:c>
      <x:c r="N8" s="35" t="n">
        <x:f>H8-F8</x:f>
        <x:v>0</x:v>
      </x:c>
      <x:c r="O8" s="35" t="n">
        <x:f>I8-G8</x:f>
        <x:v>8</x:v>
      </x:c>
      <x:c r="P8" s="35" t="n">
        <x:f>SQRT(N8^2+O8^2)</x:f>
        <x:v>8</x:v>
      </x:c>
      <x:c r="Q8" s="35" t="n">
        <x:f>IFERROR(ABS(DEGREES(ATAN(O8/N8))),IF(O8=0,0,90))</x:f>
        <x:v>90</x:v>
      </x:c>
      <x:c r="R8" s="34" t="str">
        <x:v>Linked to L right</x:v>
      </x:c>
      <x:c r="S8" s="34" t="str">
        <x:v>Vertical fixed 8mm</x:v>
      </x:c>
      <x:c r="T8" s="34" t="str">
        <x:v>Right lid vertical short segment</x:v>
      </x:c>
    </x:row>
    <x:row r="9">
      <x:c r="A9" s="34" t="str">
        <x:v>A8</x:v>
      </x:c>
      <x:c r="B9" s="34" t="str">
        <x:v>CUT</x:v>
      </x:c>
      <x:c r="C9" s="34" t="str">
        <x:v>CUT_13_object-2</x:v>
      </x:c>
      <x:c r="D9" s="34" t="str">
        <x:v>P018</x:v>
      </x:c>
      <x:c r="E9" s="34" t="str">
        <x:v>P020</x:v>
      </x:c>
      <x:c r="F9" s="35" t="n">
        <x:f>XLOOKUP(D9,Dynamic_Points!$A:$A,Dynamic_Points!$E:$E)</x:f>
        <x:v>306.85</x:v>
      </x:c>
      <x:c r="G9" s="35" t="n">
        <x:f>XLOOKUP(D9,Dynamic_Points!$A:$A,Dynamic_Points!$G:$G)</x:f>
        <x:v>20.35</x:v>
      </x:c>
      <x:c r="H9" s="35" t="n">
        <x:f>XLOOKUP(E9,Dynamic_Points!$A:$A,Dynamic_Points!$E:$E)</x:f>
        <x:v>315.35</x:v>
      </x:c>
      <x:c r="I9" s="35" t="n">
        <x:f>XLOOKUP(E9,Dynamic_Points!$A:$A,Dynamic_Points!$G:$G)</x:f>
        <x:v>20.35</x:v>
      </x:c>
      <x:c r="J9" s="35" t="n">
        <x:v>306.85</x:v>
      </x:c>
      <x:c r="K9" s="35" t="n">
        <x:v>20.35</x:v>
      </x:c>
      <x:c r="L9" s="35" t="n">
        <x:v>315.35</x:v>
      </x:c>
      <x:c r="M9" s="35" t="n">
        <x:v>20.35</x:v>
      </x:c>
      <x:c r="N9" s="35" t="n">
        <x:f>H9-F9</x:f>
        <x:v>8.5</x:v>
      </x:c>
      <x:c r="O9" s="35" t="n">
        <x:f>I9-G9</x:f>
        <x:v>0</x:v>
      </x:c>
      <x:c r="P9" s="35" t="n">
        <x:f>SQRT(N9^2+O9^2)</x:f>
        <x:v>8.5</x:v>
      </x:c>
      <x:c r="Q9" s="35" t="n">
        <x:f>IFERROR(ABS(DEGREES(ATAN(O9/N9))),IF(O9=0,0,90))</x:f>
        <x:v>0</x:v>
      </x:c>
      <x:c r="R9" s="34" t="str">
        <x:v>Linked to L right</x:v>
      </x:c>
      <x:c r="S9" s="34" t="str">
        <x:v>Horizontal fixed 8.5mm</x:v>
      </x:c>
      <x:c r="T9" s="34" t="str">
        <x:v>Right lid short segment</x:v>
      </x:c>
    </x:row>
    <x:row r="10">
      <x:c r="A10" s="34" t="str">
        <x:v>A9</x:v>
      </x:c>
      <x:c r="B10" s="34" t="str">
        <x:v>CUT</x:v>
      </x:c>
      <x:c r="C10" s="34" t="str">
        <x:v>CUT_35_object</x:v>
      </x:c>
      <x:c r="D10" s="34" t="str">
        <x:v>P019</x:v>
      </x:c>
      <x:c r="E10" s="34" t="str">
        <x:v>P018</x:v>
      </x:c>
      <x:c r="F10" s="35" t="n">
        <x:f>XLOOKUP(D10,Dynamic_Points!$A:$A,Dynamic_Points!$E:$E)</x:f>
        <x:v>306.85</x:v>
      </x:c>
      <x:c r="G10" s="35" t="n">
        <x:f>XLOOKUP(D10,Dynamic_Points!$A:$A,Dynamic_Points!$G:$G)</x:f>
        <x:v>22.35</x:v>
      </x:c>
      <x:c r="H10" s="35" t="n">
        <x:f>XLOOKUP(E10,Dynamic_Points!$A:$A,Dynamic_Points!$E:$E)</x:f>
        <x:v>306.85</x:v>
      </x:c>
      <x:c r="I10" s="35" t="n">
        <x:f>XLOOKUP(E10,Dynamic_Points!$A:$A,Dynamic_Points!$G:$G)</x:f>
        <x:v>20.35</x:v>
      </x:c>
      <x:c r="J10" s="35" t="n">
        <x:v>306.85</x:v>
      </x:c>
      <x:c r="K10" s="35" t="n">
        <x:v>22.35</x:v>
      </x:c>
      <x:c r="L10" s="35" t="n">
        <x:v>306.85</x:v>
      </x:c>
      <x:c r="M10" s="35" t="n">
        <x:v>20.35</x:v>
      </x:c>
      <x:c r="N10" s="35" t="n">
        <x:f>H10-F10</x:f>
        <x:v>0</x:v>
      </x:c>
      <x:c r="O10" s="35" t="n">
        <x:f>I10-G10</x:f>
        <x:v>-2</x:v>
      </x:c>
      <x:c r="P10" s="35" t="n">
        <x:f>SQRT(N10^2+O10^2)</x:f>
        <x:v>2</x:v>
      </x:c>
      <x:c r="Q10" s="35" t="n">
        <x:f>IFERROR(ABS(DEGREES(ATAN(O10/N10))),IF(O10=0,0,90))</x:f>
        <x:v>90</x:v>
      </x:c>
      <x:c r="R10" s="34" t="str">
        <x:v>Linked to L right</x:v>
      </x:c>
      <x:c r="S10" s="34" t="str">
        <x:v>Vertical fixed 2mm</x:v>
      </x:c>
      <x:c r="T10" s="34" t="str">
        <x:v>Right small vertical at lid start</x:v>
      </x:c>
    </x:row>
    <x:row r="11">
      <x:c r="A11" s="34" t="str">
        <x:v>A5</x:v>
      </x:c>
      <x:c r="B11" s="34" t="str">
        <x:v>CUT</x:v>
      </x:c>
      <x:c r="C11" s="34" t="str">
        <x:v>CUT_46_object</x:v>
      </x:c>
      <x:c r="D11" s="34" t="str">
        <x:v>P011</x:v>
      </x:c>
      <x:c r="E11" s="34" t="str">
        <x:v>P012</x:v>
      </x:c>
      <x:c r="F11" s="35" t="n">
        <x:f>XLOOKUP(D11,Dynamic_Points!$A:$A,Dynamic_Points!$E:$E)</x:f>
        <x:v>78.35</x:v>
      </x:c>
      <x:c r="G11" s="35" t="n">
        <x:f>XLOOKUP(D11,Dynamic_Points!$A:$A,Dynamic_Points!$G:$G)</x:f>
        <x:v>0.3500000000000014</x:v>
      </x:c>
      <x:c r="H11" s="35" t="n">
        <x:f>XLOOKUP(E11,Dynamic_Points!$A:$A,Dynamic_Points!$E:$E)</x:f>
        <x:v>303.35</x:v>
      </x:c>
      <x:c r="I11" s="35" t="n">
        <x:f>XLOOKUP(E11,Dynamic_Points!$A:$A,Dynamic_Points!$G:$G)</x:f>
        <x:v>0.3500000000000014</x:v>
      </x:c>
      <x:c r="J11" s="35" t="n">
        <x:v>78.35</x:v>
      </x:c>
      <x:c r="K11" s="35" t="n">
        <x:v>0.35</x:v>
      </x:c>
      <x:c r="L11" s="35" t="n">
        <x:v>303.35</x:v>
      </x:c>
      <x:c r="M11" s="35" t="n">
        <x:v>0.35</x:v>
      </x:c>
      <x:c r="N11" s="35" t="n">
        <x:f>H11-F11</x:f>
        <x:v>225.00000000000003</x:v>
      </x:c>
      <x:c r="O11" s="35" t="n">
        <x:f>I11-G11</x:f>
        <x:v>0</x:v>
      </x:c>
      <x:c r="P11" s="35" t="n">
        <x:f>SQRT(N11^2+O11^2)</x:f>
        <x:v>225.00000000000003</x:v>
      </x:c>
      <x:c r="Q11" s="35" t="n">
        <x:f>IFERROR(ABS(DEGREES(ATAN(O11/N11))),IF(O11=0,0,90))</x:f>
        <x:v>0</x:v>
      </x:c>
      <x:c r="R11" s="34" t="str">
        <x:v>L</x:v>
      </x:c>
      <x:c r="S11" s="34" t="str">
        <x:v>Horizontal length = L - 25mm</x:v>
      </x:c>
      <x:c r="T11" s="34" t="str">
        <x:v>Top lid straight segment stretches with L</x:v>
      </x:c>
    </x:row>
    <x:row r="12">
      <x:c r="A12" s="34" t="str">
        <x:v>C5</x:v>
      </x:c>
      <x:c r="B12" s="34" t="str">
        <x:v>CUT</x:v>
      </x:c>
      <x:c r="C12" s="34" t="str">
        <x:v>C5</x:v>
      </x:c>
      <x:c r="D12" s="34" t="str">
        <x:v>P004</x:v>
      </x:c>
      <x:c r="E12" s="34" t="str">
        <x:v>P026</x:v>
      </x:c>
      <x:c r="F12" s="35" t="n">
        <x:f>XLOOKUP(D12,Dynamic_Points!$A:$A,Dynamic_Points!$E:$E)</x:f>
        <x:v>65.85</x:v>
      </x:c>
      <x:c r="G12" s="35" t="n">
        <x:f>XLOOKUP(D12,Dynamic_Points!$A:$A,Dynamic_Points!$G:$G)</x:f>
        <x:v>210.35</x:v>
      </x:c>
      <x:c r="H12" s="35" t="n">
        <x:f>XLOOKUP(E12,Dynamic_Points!$A:$A,Dynamic_Points!$E:$E)</x:f>
        <x:v>62.849999999999994</x:v>
      </x:c>
      <x:c r="I12" s="35" t="n">
        <x:f>XLOOKUP(E12,Dynamic_Points!$A:$A,Dynamic_Points!$G:$G)</x:f>
        <x:v>213.35</x:v>
      </x:c>
      <x:c r="J12" s="35" t="n">
        <x:v>65.85</x:v>
      </x:c>
      <x:c r="K12" s="35" t="n">
        <x:v>210.35</x:v>
      </x:c>
      <x:c r="L12" s="35" t="n">
        <x:v>62.85</x:v>
      </x:c>
      <x:c r="M12" s="35" t="n">
        <x:v>213.35</x:v>
      </x:c>
      <x:c r="N12" s="35" t="n">
        <x:f>H12-F12</x:f>
        <x:v>-3</x:v>
      </x:c>
      <x:c r="O12" s="35" t="n">
        <x:f>I12-G12</x:f>
        <x:v>3</x:v>
      </x:c>
      <x:c r="P12" s="35" t="n">
        <x:f>SQRT(N12^2+O12^2)</x:f>
        <x:v>4.242640687119285</x:v>
      </x:c>
      <x:c r="Q12" s="35" t="n">
        <x:f>IFERROR(ABS(DEGREES(ATAN(O12/N12))),IF(O12=0,0,90))</x:f>
        <x:v>45</x:v>
      </x:c>
      <x:c r="R12" s="34" t="str">
        <x:v>H linked</x:v>
      </x:c>
      <x:c r="S12" s="34" t="str">
        <x:v>45 degrees</x:v>
      </x:c>
      <x:c r="T12" s="34" t="str">
        <x:v>Upper-left depth tab: fixed 45° corner</x:v>
      </x:c>
    </x:row>
    <x:row r="13">
      <x:c r="A13" s="34" t="str">
        <x:v>C4</x:v>
      </x:c>
      <x:c r="B13" s="34" t="str">
        <x:v>CUT</x:v>
      </x:c>
      <x:c r="C13" s="34" t="str">
        <x:v>C4</x:v>
      </x:c>
      <x:c r="D13" s="34" t="str">
        <x:v>P026</x:v>
      </x:c>
      <x:c r="E13" s="34" t="str">
        <x:v>P027</x:v>
      </x:c>
      <x:c r="F13" s="35" t="n">
        <x:f>XLOOKUP(D13,Dynamic_Points!$A:$A,Dynamic_Points!$E:$E)</x:f>
        <x:v>62.849999999999994</x:v>
      </x:c>
      <x:c r="G13" s="35" t="n">
        <x:f>XLOOKUP(D13,Dynamic_Points!$A:$A,Dynamic_Points!$G:$G)</x:f>
        <x:v>213.35</x:v>
      </x:c>
      <x:c r="H13" s="35" t="n">
        <x:f>XLOOKUP(E13,Dynamic_Points!$A:$A,Dynamic_Points!$E:$E)</x:f>
        <x:v>15.849999999999994</x:v>
      </x:c>
      <x:c r="I13" s="35" t="n">
        <x:f>XLOOKUP(E13,Dynamic_Points!$A:$A,Dynamic_Points!$G:$G)</x:f>
        <x:v>213.35</x:v>
      </x:c>
      <x:c r="J13" s="35" t="n">
        <x:v>62.85</x:v>
      </x:c>
      <x:c r="K13" s="35" t="n">
        <x:v>213.35</x:v>
      </x:c>
      <x:c r="L13" s="35" t="n">
        <x:v>15.85</x:v>
      </x:c>
      <x:c r="M13" s="35" t="n">
        <x:v>213.35</x:v>
      </x:c>
      <x:c r="N13" s="35" t="n">
        <x:f>H13-F13</x:f>
        <x:v>-47</x:v>
      </x:c>
      <x:c r="O13" s="35" t="n">
        <x:f>I13-G13</x:f>
        <x:v>0</x:v>
      </x:c>
      <x:c r="P13" s="35" t="n">
        <x:f>SQRT(N13^2+O13^2)</x:f>
        <x:v>47</x:v>
      </x:c>
      <x:c r="Q13" s="35" t="n">
        <x:f>IFERROR(ABS(DEGREES(ATAN(O13/N13))),IF(O13=0,0,90))</x:f>
        <x:v>0</x:v>
      </x:c>
      <x:c r="R13" s="34" t="str">
        <x:v>H / C_AREA_WIDTH</x:v>
      </x:c>
      <x:c r="S13" s="34" t="str">
        <x:v>Horizontal length = C_AREA_Width = H - 3</x:v>
      </x:c>
      <x:c r="T13" s="34" t="str">
        <x:v>C4 resizes so C AREA width always equals L AREA height.</x:v>
      </x:c>
    </x:row>
    <x:row r="14">
      <x:c r="A14" s="34" t="str">
        <x:v>C3</x:v>
      </x:c>
      <x:c r="B14" s="34" t="str">
        <x:v>CUT</x:v>
      </x:c>
      <x:c r="C14" s="34" t="str">
        <x:v>CUT_44_object</x:v>
      </x:c>
      <x:c r="D14" s="34" t="str">
        <x:v>P027</x:v>
      </x:c>
      <x:c r="E14" s="34" t="str">
        <x:v>P028</x:v>
      </x:c>
      <x:c r="F14" s="35" t="n">
        <x:f>XLOOKUP(D14,Dynamic_Points!$A:$A,Dynamic_Points!$E:$E)</x:f>
        <x:v>15.849999999999994</x:v>
      </x:c>
      <x:c r="G14" s="35" t="n">
        <x:f>XLOOKUP(D14,Dynamic_Points!$A:$A,Dynamic_Points!$G:$G)</x:f>
        <x:v>213.35</x:v>
      </x:c>
      <x:c r="H14" s="35" t="n">
        <x:f>XLOOKUP(E14,Dynamic_Points!$A:$A,Dynamic_Points!$E:$E)</x:f>
        <x:v>15.849999999999994</x:v>
      </x:c>
      <x:c r="I14" s="35" t="n">
        <x:f>XLOOKUP(E14,Dynamic_Points!$A:$A,Dynamic_Points!$G:$G)</x:f>
        <x:v>247.35000000000002</x:v>
      </x:c>
      <x:c r="J14" s="35" t="n">
        <x:v>15.85</x:v>
      </x:c>
      <x:c r="K14" s="35" t="n">
        <x:v>213.35</x:v>
      </x:c>
      <x:c r="L14" s="35" t="n">
        <x:v>15.85</x:v>
      </x:c>
      <x:c r="M14" s="35" t="n">
        <x:v>247.35</x:v>
      </x:c>
      <x:c r="N14" s="35" t="n">
        <x:f>H14-F14</x:f>
        <x:v>0</x:v>
      </x:c>
      <x:c r="O14" s="35" t="n">
        <x:f>I14-G14</x:f>
        <x:v>34.00000000000003</x:v>
      </x:c>
      <x:c r="P14" s="35" t="n">
        <x:f>SQRT(N14^2+O14^2)</x:f>
        <x:v>34.00000000000003</x:v>
      </x:c>
      <x:c r="Q14" s="35" t="n">
        <x:f>IFERROR(ABS(DEGREES(ATAN(O14/N14))),IF(O14=0,0,90))</x:f>
        <x:v>90</x:v>
      </x:c>
      <x:c r="R14" s="34" t="str">
        <x:v>H</x:v>
      </x:c>
      <x:c r="S14" s="34" t="str">
        <x:v>Vertical length = H - 16mm</x:v>
      </x:c>
      <x:c r="T14" s="34" t="str">
        <x:v>Upper-left tab vertical stretches with H</x:v>
      </x:c>
    </x:row>
    <x:row r="15">
      <x:c r="A15" s="34" t="str">
        <x:v>C2</x:v>
      </x:c>
      <x:c r="B15" s="34" t="str">
        <x:v>CUT</x:v>
      </x:c>
      <x:c r="C15" s="34" t="str">
        <x:v>CUT_18_object</x:v>
      </x:c>
      <x:c r="D15" s="34" t="str">
        <x:v>P029</x:v>
      </x:c>
      <x:c r="E15" s="34" t="str">
        <x:v>P028</x:v>
      </x:c>
      <x:c r="F15" s="35" t="n">
        <x:f>XLOOKUP(D15,Dynamic_Points!$A:$A,Dynamic_Points!$E:$E)</x:f>
        <x:v>62.849999999999994</x:v>
      </x:c>
      <x:c r="G15" s="35" t="n">
        <x:f>XLOOKUP(D15,Dynamic_Points!$A:$A,Dynamic_Points!$G:$G)</x:f>
        <x:v>257.35</x:v>
      </x:c>
      <x:c r="H15" s="35" t="n">
        <x:f>XLOOKUP(E15,Dynamic_Points!$A:$A,Dynamic_Points!$E:$E)</x:f>
        <x:v>15.849999999999994</x:v>
      </x:c>
      <x:c r="I15" s="35" t="n">
        <x:f>XLOOKUP(E15,Dynamic_Points!$A:$A,Dynamic_Points!$G:$G)</x:f>
        <x:v>247.35000000000002</x:v>
      </x:c>
      <x:c r="J15" s="35" t="n">
        <x:v>62.85</x:v>
      </x:c>
      <x:c r="K15" s="35" t="n">
        <x:v>257.35</x:v>
      </x:c>
      <x:c r="L15" s="35" t="n">
        <x:v>15.85</x:v>
      </x:c>
      <x:c r="M15" s="35" t="n">
        <x:v>247.35</x:v>
      </x:c>
      <x:c r="N15" s="35" t="n">
        <x:f>H15-F15</x:f>
        <x:v>-47</x:v>
      </x:c>
      <x:c r="O15" s="35" t="n">
        <x:f>I15-G15</x:f>
        <x:v>-10</x:v>
      </x:c>
      <x:c r="P15" s="35" t="n">
        <x:f>SQRT(N15^2+O15^2)</x:f>
        <x:v>48.05205510693585</x:v>
      </x:c>
      <x:c r="Q15" s="35" t="n">
        <x:f>IFERROR(ABS(DEGREES(ATAN(O15/N15))),IF(O15=0,0,90))</x:f>
        <x:v>12.011478386365443</x:v>
      </x:c>
      <x:c r="R15" s="34" t="str">
        <x:v>H / C_AREA_WIDTH</x:v>
      </x:c>
      <x:c r="S15" s="34" t="str">
        <x:v>12°; horizontal = H - 3; vertical = (H - 3)*TAN(12°)</x:v>
      </x:c>
      <x:c r="T15" s="34" t="str">
        <x:v>C2 resizes with C AREA while preserving its 12° angle and endpoint connections.</x:v>
      </x:c>
    </x:row>
    <x:row r="16">
      <x:c r="A16" s="34" t="str">
        <x:v>C1</x:v>
      </x:c>
      <x:c r="B16" s="34" t="str">
        <x:v>CUT</x:v>
      </x:c>
      <x:c r="C16" s="34" t="str">
        <x:v>CUT_43_object</x:v>
      </x:c>
      <x:c r="D16" s="34" t="str">
        <x:v>P002</x:v>
      </x:c>
      <x:c r="E16" s="34" t="str">
        <x:v>P029</x:v>
      </x:c>
      <x:c r="F16" s="35" t="n">
        <x:f>XLOOKUP(D16,Dynamic_Points!$A:$A,Dynamic_Points!$E:$E)</x:f>
        <x:v>65.85</x:v>
      </x:c>
      <x:c r="G16" s="35" t="n">
        <x:f>XLOOKUP(D16,Dynamic_Points!$A:$A,Dynamic_Points!$G:$G)</x:f>
        <x:v>260.35</x:v>
      </x:c>
      <x:c r="H16" s="35" t="n">
        <x:f>XLOOKUP(E16,Dynamic_Points!$A:$A,Dynamic_Points!$E:$E)</x:f>
        <x:v>62.849999999999994</x:v>
      </x:c>
      <x:c r="I16" s="35" t="n">
        <x:f>XLOOKUP(E16,Dynamic_Points!$A:$A,Dynamic_Points!$G:$G)</x:f>
        <x:v>257.35</x:v>
      </x:c>
      <x:c r="J16" s="35" t="n">
        <x:v>65.85</x:v>
      </x:c>
      <x:c r="K16" s="35" t="n">
        <x:v>260.35</x:v>
      </x:c>
      <x:c r="L16" s="35" t="n">
        <x:v>62.85</x:v>
      </x:c>
      <x:c r="M16" s="35" t="n">
        <x:v>257.35</x:v>
      </x:c>
      <x:c r="N16" s="35" t="n">
        <x:f>H16-F16</x:f>
        <x:v>-3</x:v>
      </x:c>
      <x:c r="O16" s="35" t="n">
        <x:f>I16-G16</x:f>
        <x:v>-3</x:v>
      </x:c>
      <x:c r="P16" s="35" t="n">
        <x:f>SQRT(N16^2+O16^2)</x:f>
        <x:v>4.242640687119285</x:v>
      </x:c>
      <x:c r="Q16" s="35" t="n">
        <x:f>IFERROR(ABS(DEGREES(ATAN(O16/N16))),IF(O16=0,0,90))</x:f>
        <x:v>45</x:v>
      </x:c>
      <x:c r="R16" s="34" t="str">
        <x:v>H linked</x:v>
      </x:c>
      <x:c r="S16" s="34" t="str">
        <x:v>45 degrees</x:v>
      </x:c>
      <x:c r="T16" s="34" t="str">
        <x:v>Upper-left tab lower 45°</x:v>
      </x:c>
    </x:row>
    <x:row r="17">
      <x:c r="A17" s="34" t="str">
        <x:v>D5</x:v>
      </x:c>
      <x:c r="B17" s="34" t="str">
        <x:v>CUT</x:v>
      </x:c>
      <x:c r="C17" s="34" t="str">
        <x:v>CUT_36_object</x:v>
      </x:c>
      <x:c r="D17" s="34" t="str">
        <x:v>P003</x:v>
      </x:c>
      <x:c r="E17" s="34" t="str">
        <x:v>P022</x:v>
      </x:c>
      <x:c r="F17" s="35" t="n">
        <x:f>XLOOKUP(D17,Dynamic_Points!$A:$A,Dynamic_Points!$E:$E)</x:f>
        <x:v>315.85</x:v>
      </x:c>
      <x:c r="G17" s="35" t="n">
        <x:f>XLOOKUP(D17,Dynamic_Points!$A:$A,Dynamic_Points!$G:$G)</x:f>
        <x:v>210.35</x:v>
      </x:c>
      <x:c r="H17" s="35" t="n">
        <x:f>XLOOKUP(E17,Dynamic_Points!$A:$A,Dynamic_Points!$E:$E)</x:f>
        <x:v>318.85</x:v>
      </x:c>
      <x:c r="I17" s="35" t="n">
        <x:f>XLOOKUP(E17,Dynamic_Points!$A:$A,Dynamic_Points!$G:$G)</x:f>
        <x:v>213.35</x:v>
      </x:c>
      <x:c r="J17" s="35" t="n">
        <x:v>315.85</x:v>
      </x:c>
      <x:c r="K17" s="35" t="n">
        <x:v>210.35</x:v>
      </x:c>
      <x:c r="L17" s="35" t="n">
        <x:v>318.85</x:v>
      </x:c>
      <x:c r="M17" s="35" t="n">
        <x:v>213.35</x:v>
      </x:c>
      <x:c r="N17" s="35" t="n">
        <x:f>H17-F17</x:f>
        <x:v>3</x:v>
      </x:c>
      <x:c r="O17" s="35" t="n">
        <x:f>I17-G17</x:f>
        <x:v>3</x:v>
      </x:c>
      <x:c r="P17" s="35" t="n">
        <x:f>SQRT(N17^2+O17^2)</x:f>
        <x:v>4.242640687119285</x:v>
      </x:c>
      <x:c r="Q17" s="35" t="n">
        <x:f>IFERROR(ABS(DEGREES(ATAN(O17/N17))),IF(O17=0,0,90))</x:f>
        <x:v>45</x:v>
      </x:c>
      <x:c r="R17" s="34" t="str">
        <x:v>H linked</x:v>
      </x:c>
      <x:c r="S17" s="34" t="str">
        <x:v>45 degrees</x:v>
      </x:c>
      <x:c r="T17" s="34" t="str">
        <x:v>Upper-right tab upper 45°</x:v>
      </x:c>
    </x:row>
    <x:row r="18">
      <x:c r="A18" s="34" t="str">
        <x:v>D4</x:v>
      </x:c>
      <x:c r="B18" s="34" t="str">
        <x:v>CUT</x:v>
      </x:c>
      <x:c r="C18" s="34" t="str">
        <x:v>CUT_5_object</x:v>
      </x:c>
      <x:c r="D18" s="34" t="str">
        <x:v>P022</x:v>
      </x:c>
      <x:c r="E18" s="34" t="str">
        <x:v>P023</x:v>
      </x:c>
      <x:c r="F18" s="35" t="n">
        <x:f>XLOOKUP(D18,Dynamic_Points!$A:$A,Dynamic_Points!$E:$E)</x:f>
        <x:v>318.85</x:v>
      </x:c>
      <x:c r="G18" s="35" t="n">
        <x:f>XLOOKUP(D18,Dynamic_Points!$A:$A,Dynamic_Points!$G:$G)</x:f>
        <x:v>213.35</x:v>
      </x:c>
      <x:c r="H18" s="35" t="n">
        <x:f>XLOOKUP(E18,Dynamic_Points!$A:$A,Dynamic_Points!$E:$E)</x:f>
        <x:v>365.85</x:v>
      </x:c>
      <x:c r="I18" s="35" t="n">
        <x:f>XLOOKUP(E18,Dynamic_Points!$A:$A,Dynamic_Points!$G:$G)</x:f>
        <x:v>213.35</x:v>
      </x:c>
      <x:c r="J18" s="35" t="n">
        <x:v>318.85</x:v>
      </x:c>
      <x:c r="K18" s="35" t="n">
        <x:v>213.35</x:v>
      </x:c>
      <x:c r="L18" s="35" t="n">
        <x:v>365.85</x:v>
      </x:c>
      <x:c r="M18" s="35" t="n">
        <x:v>213.35</x:v>
      </x:c>
      <x:c r="N18" s="35" t="n">
        <x:f>H18-F18</x:f>
        <x:v>47</x:v>
      </x:c>
      <x:c r="O18" s="35" t="n">
        <x:f>I18-G18</x:f>
        <x:v>0</x:v>
      </x:c>
      <x:c r="P18" s="35" t="n">
        <x:f>SQRT(N18^2+O18^2)</x:f>
        <x:v>47</x:v>
      </x:c>
      <x:c r="Q18" s="35" t="n">
        <x:f>IFERROR(ABS(DEGREES(ATAN(O18/N18))),IF(O18=0,0,90))</x:f>
        <x:v>0</x:v>
      </x:c>
      <x:c r="R18" s="34" t="str">
        <x:v>H / D_AREA_WIDTH mirror of C4</x:v>
      </x:c>
      <x:c r="S18" s="34" t="str">
        <x:v>Horizontal length = D_AREA_Width = H - 3</x:v>
      </x:c>
      <x:c r="T18" s="34" t="str">
        <x:v>D4 mirrors C4; resize according to same C AREA rule in D direction.</x:v>
      </x:c>
    </x:row>
    <x:row r="19">
      <x:c r="A19" s="34" t="str">
        <x:v>D3</x:v>
      </x:c>
      <x:c r="B19" s="34" t="str">
        <x:v>CUT</x:v>
      </x:c>
      <x:c r="C19" s="34" t="str">
        <x:v>CUT_37_object</x:v>
      </x:c>
      <x:c r="D19" s="34" t="str">
        <x:v>P023</x:v>
      </x:c>
      <x:c r="E19" s="34" t="str">
        <x:v>P024</x:v>
      </x:c>
      <x:c r="F19" s="35" t="n">
        <x:f>XLOOKUP(D19,Dynamic_Points!$A:$A,Dynamic_Points!$E:$E)</x:f>
        <x:v>365.85</x:v>
      </x:c>
      <x:c r="G19" s="35" t="n">
        <x:f>XLOOKUP(D19,Dynamic_Points!$A:$A,Dynamic_Points!$G:$G)</x:f>
        <x:v>213.35</x:v>
      </x:c>
      <x:c r="H19" s="35" t="n">
        <x:f>XLOOKUP(E19,Dynamic_Points!$A:$A,Dynamic_Points!$E:$E)</x:f>
        <x:v>365.85</x:v>
      </x:c>
      <x:c r="I19" s="35" t="n">
        <x:f>XLOOKUP(E19,Dynamic_Points!$A:$A,Dynamic_Points!$G:$G)</x:f>
        <x:v>247.35000000000002</x:v>
      </x:c>
      <x:c r="J19" s="35" t="n">
        <x:v>365.85</x:v>
      </x:c>
      <x:c r="K19" s="35" t="n">
        <x:v>213.35</x:v>
      </x:c>
      <x:c r="L19" s="35" t="n">
        <x:v>365.85</x:v>
      </x:c>
      <x:c r="M19" s="35" t="n">
        <x:v>247.35</x:v>
      </x:c>
      <x:c r="N19" s="35" t="n">
        <x:f>H19-F19</x:f>
        <x:v>0</x:v>
      </x:c>
      <x:c r="O19" s="35" t="n">
        <x:f>I19-G19</x:f>
        <x:v>34.00000000000003</x:v>
      </x:c>
      <x:c r="P19" s="35" t="n">
        <x:f>SQRT(N19^2+O19^2)</x:f>
        <x:v>34.00000000000003</x:v>
      </x:c>
      <x:c r="Q19" s="35" t="n">
        <x:f>IFERROR(ABS(DEGREES(ATAN(O19/N19))),IF(O19=0,0,90))</x:f>
        <x:v>90</x:v>
      </x:c>
      <x:c r="R19" s="34" t="str">
        <x:v>H</x:v>
      </x:c>
      <x:c r="S19" s="34" t="str">
        <x:v>Vertical length = H - 16mm</x:v>
      </x:c>
      <x:c r="T19" s="34" t="str">
        <x:v>Upper-right tab vertical stretches with H</x:v>
      </x:c>
    </x:row>
    <x:row r="20">
      <x:c r="A20" s="34" t="str">
        <x:v>D2</x:v>
      </x:c>
      <x:c r="B20" s="34" t="str">
        <x:v>CUT</x:v>
      </x:c>
      <x:c r="C20" s="34" t="str">
        <x:v>CUT_38_object</x:v>
      </x:c>
      <x:c r="D20" s="34" t="str">
        <x:v>P025</x:v>
      </x:c>
      <x:c r="E20" s="34" t="str">
        <x:v>P024</x:v>
      </x:c>
      <x:c r="F20" s="35" t="n">
        <x:f>XLOOKUP(D20,Dynamic_Points!$A:$A,Dynamic_Points!$E:$E)</x:f>
        <x:v>318.85</x:v>
      </x:c>
      <x:c r="G20" s="35" t="n">
        <x:f>XLOOKUP(D20,Dynamic_Points!$A:$A,Dynamic_Points!$G:$G)</x:f>
        <x:v>257.35</x:v>
      </x:c>
      <x:c r="H20" s="35" t="n">
        <x:f>XLOOKUP(E20,Dynamic_Points!$A:$A,Dynamic_Points!$E:$E)</x:f>
        <x:v>365.85</x:v>
      </x:c>
      <x:c r="I20" s="35" t="n">
        <x:f>XLOOKUP(E20,Dynamic_Points!$A:$A,Dynamic_Points!$G:$G)</x:f>
        <x:v>247.35000000000002</x:v>
      </x:c>
      <x:c r="J20" s="35" t="n">
        <x:v>318.85</x:v>
      </x:c>
      <x:c r="K20" s="35" t="n">
        <x:v>257.35</x:v>
      </x:c>
      <x:c r="L20" s="35" t="n">
        <x:v>365.85</x:v>
      </x:c>
      <x:c r="M20" s="35" t="n">
        <x:v>247.35</x:v>
      </x:c>
      <x:c r="N20" s="35" t="n">
        <x:f>H20-F20</x:f>
        <x:v>47</x:v>
      </x:c>
      <x:c r="O20" s="35" t="n">
        <x:f>I20-G20</x:f>
        <x:v>-10</x:v>
      </x:c>
      <x:c r="P20" s="35" t="n">
        <x:f>SQRT(N20^2+O20^2)</x:f>
        <x:v>48.05205510693585</x:v>
      </x:c>
      <x:c r="Q20" s="35" t="n">
        <x:f>IFERROR(ABS(DEGREES(ATAN(O20/N20))),IF(O20=0,0,90))</x:f>
        <x:v>12.011478386365443</x:v>
      </x:c>
      <x:c r="R20" s="34" t="str">
        <x:v>H / D_AREA_WIDTH mirror of C2</x:v>
      </x:c>
      <x:c r="S20" s="34" t="str">
        <x:v>12°; horizontal = H - 3; vertical = (H - 3)*TAN(12°)</x:v>
      </x:c>
      <x:c r="T20" s="34" t="str">
        <x:v>D2 mirrors C2; preserve 12° while resizing in D direction.</x:v>
      </x:c>
    </x:row>
    <x:row r="21">
      <x:c r="A21" s="34" t="str">
        <x:v>D1</x:v>
      </x:c>
      <x:c r="B21" s="34" t="str">
        <x:v>CUT</x:v>
      </x:c>
      <x:c r="C21" s="34" t="str">
        <x:v>CUT_3_object</x:v>
      </x:c>
      <x:c r="D21" s="34" t="str">
        <x:v>P001</x:v>
      </x:c>
      <x:c r="E21" s="34" t="str">
        <x:v>P025</x:v>
      </x:c>
      <x:c r="F21" s="35" t="n">
        <x:f>XLOOKUP(D21,Dynamic_Points!$A:$A,Dynamic_Points!$E:$E)</x:f>
        <x:v>315.85</x:v>
      </x:c>
      <x:c r="G21" s="35" t="n">
        <x:f>XLOOKUP(D21,Dynamic_Points!$A:$A,Dynamic_Points!$G:$G)</x:f>
        <x:v>260.35</x:v>
      </x:c>
      <x:c r="H21" s="35" t="n">
        <x:f>XLOOKUP(E21,Dynamic_Points!$A:$A,Dynamic_Points!$E:$E)</x:f>
        <x:v>318.85</x:v>
      </x:c>
      <x:c r="I21" s="35" t="n">
        <x:f>XLOOKUP(E21,Dynamic_Points!$A:$A,Dynamic_Points!$G:$G)</x:f>
        <x:v>257.35</x:v>
      </x:c>
      <x:c r="J21" s="35" t="n">
        <x:v>315.85</x:v>
      </x:c>
      <x:c r="K21" s="35" t="n">
        <x:v>260.35</x:v>
      </x:c>
      <x:c r="L21" s="35" t="n">
        <x:v>318.85</x:v>
      </x:c>
      <x:c r="M21" s="35" t="n">
        <x:v>257.35</x:v>
      </x:c>
      <x:c r="N21" s="35" t="n">
        <x:f>H21-F21</x:f>
        <x:v>3</x:v>
      </x:c>
      <x:c r="O21" s="35" t="n">
        <x:f>I21-G21</x:f>
        <x:v>-3</x:v>
      </x:c>
      <x:c r="P21" s="35" t="n">
        <x:f>SQRT(N21^2+O21^2)</x:f>
        <x:v>4.242640687119285</x:v>
      </x:c>
      <x:c r="Q21" s="35" t="n">
        <x:f>IFERROR(ABS(DEGREES(ATAN(O21/N21))),IF(O21=0,0,90))</x:f>
        <x:v>45</x:v>
      </x:c>
      <x:c r="R21" s="34" t="str">
        <x:v>H linked</x:v>
      </x:c>
      <x:c r="S21" s="34" t="str">
        <x:v>45 degrees</x:v>
      </x:c>
      <x:c r="T21" s="34" t="str">
        <x:v>Upper-right tab lower 45°</x:v>
      </x:c>
    </x:row>
    <x:row r="22">
      <x:c r="A22" s="34" t="str">
        <x:v>J4</x:v>
      </x:c>
      <x:c r="B22" s="34" t="str">
        <x:v>CUT</x:v>
      </x:c>
      <x:c r="C22" s="34" t="str">
        <x:v>CUT_11_object</x:v>
      </x:c>
      <x:c r="D22" s="34" t="str">
        <x:v>P001</x:v>
      </x:c>
      <x:c r="E22" s="34" t="str">
        <x:v>P038</x:v>
      </x:c>
      <x:c r="F22" s="35" t="n">
        <x:f>XLOOKUP(D22,Dynamic_Points!$A:$A,Dynamic_Points!$E:$E)</x:f>
        <x:v>315.85</x:v>
      </x:c>
      <x:c r="G22" s="35" t="n">
        <x:f>XLOOKUP(D22,Dynamic_Points!$A:$A,Dynamic_Points!$G:$G)</x:f>
        <x:v>260.35</x:v>
      </x:c>
      <x:c r="H22" s="35" t="n">
        <x:f>XLOOKUP(E22,Dynamic_Points!$A:$A,Dynamic_Points!$E:$E)</x:f>
        <x:v>316.85</x:v>
      </x:c>
      <x:c r="I22" s="35" t="n">
        <x:f>XLOOKUP(E22,Dynamic_Points!$A:$A,Dynamic_Points!$G:$G)</x:f>
        <x:v>261.35</x:v>
      </x:c>
      <x:c r="J22" s="35" t="n">
        <x:v>315.85</x:v>
      </x:c>
      <x:c r="K22" s="35" t="n">
        <x:v>260.35</x:v>
      </x:c>
      <x:c r="L22" s="35" t="n">
        <x:v>316.85</x:v>
      </x:c>
      <x:c r="M22" s="35" t="n">
        <x:v>261.35</x:v>
      </x:c>
      <x:c r="N22" s="35" t="n">
        <x:f>H22-F22</x:f>
        <x:v>1</x:v>
      </x:c>
      <x:c r="O22" s="35" t="n">
        <x:f>I22-G22</x:f>
        <x:v>1</x:v>
      </x:c>
      <x:c r="P22" s="35" t="n">
        <x:f>SQRT(N22^2+O22^2)</x:f>
        <x:v>1.4142135623730951</x:v>
      </x:c>
      <x:c r="Q22" s="35" t="n">
        <x:f>IFERROR(ABS(DEGREES(ATAN(O22/N22))),IF(O22=0,0,90))</x:f>
        <x:v>45</x:v>
      </x:c>
      <x:c r="R22" s="34" t="str">
        <x:v>Linked</x:v>
      </x:c>
      <x:c r="S22" s="34" t="str">
        <x:v>45 degrees fixed 1mm</x:v>
      </x:c>
      <x:c r="T22" s="34" t="str">
        <x:v>Right main side top connector</x:v>
      </x:c>
    </x:row>
    <x:row r="23">
      <x:c r="A23" s="34" t="str">
        <x:v>J3</x:v>
      </x:c>
      <x:c r="B23" s="34" t="str">
        <x:v>CUT</x:v>
      </x:c>
      <x:c r="C23" s="34" t="str">
        <x:v>CUT_4_object</x:v>
      </x:c>
      <x:c r="D23" s="34" t="str">
        <x:v>P038</x:v>
      </x:c>
      <x:c r="E23" s="34" t="str">
        <x:v>P039</x:v>
      </x:c>
      <x:c r="F23" s="35" t="n">
        <x:f>XLOOKUP(D23,Dynamic_Points!$A:$A,Dynamic_Points!$E:$E)</x:f>
        <x:v>316.85</x:v>
      </x:c>
      <x:c r="G23" s="35" t="n">
        <x:f>XLOOKUP(D23,Dynamic_Points!$A:$A,Dynamic_Points!$G:$G)</x:f>
        <x:v>261.35</x:v>
      </x:c>
      <x:c r="H23" s="35" t="n">
        <x:f>XLOOKUP(E23,Dynamic_Points!$A:$A,Dynamic_Points!$E:$E)</x:f>
        <x:v>365.85</x:v>
      </x:c>
      <x:c r="I23" s="35" t="n">
        <x:f>XLOOKUP(E23,Dynamic_Points!$A:$A,Dynamic_Points!$G:$G)</x:f>
        <x:v>261.35</x:v>
      </x:c>
      <x:c r="J23" s="35" t="n">
        <x:v>316.85</x:v>
      </x:c>
      <x:c r="K23" s="35" t="n">
        <x:v>261.35</x:v>
      </x:c>
      <x:c r="L23" s="35" t="n">
        <x:v>365.85</x:v>
      </x:c>
      <x:c r="M23" s="35" t="n">
        <x:v>261.35</x:v>
      </x:c>
      <x:c r="N23" s="35" t="n">
        <x:f>H23-F23</x:f>
        <x:v>49</x:v>
      </x:c>
      <x:c r="O23" s="35" t="n">
        <x:f>I23-G23</x:f>
        <x:v>0</x:v>
      </x:c>
      <x:c r="P23" s="35" t="n">
        <x:f>SQRT(N23^2+O23^2)</x:f>
        <x:v>49</x:v>
      </x:c>
      <x:c r="Q23" s="35" t="n">
        <x:f>IFERROR(ABS(DEGREES(ATAN(O23/N23))),IF(O23=0,0,90))</x:f>
        <x:v>0</x:v>
      </x:c>
      <x:c r="R23" s="34" t="str">
        <x:v>Linked</x:v>
      </x:c>
      <x:c r="S23" s="34" t="str">
        <x:v>Horizontal fixed 49mm</x:v>
      </x:c>
      <x:c r="T23" s="34" t="str">
        <x:v>Right side top horizontal</x:v>
      </x:c>
    </x:row>
    <x:row r="24">
      <x:c r="A24" s="34" t="str">
        <x:v>J2</x:v>
      </x:c>
      <x:c r="B24" s="34" t="str">
        <x:v>CUT</x:v>
      </x:c>
      <x:c r="C24" s="34" t="str">
        <x:v>CUT_14_object</x:v>
      </x:c>
      <x:c r="D24" s="34" t="str">
        <x:v>P040</x:v>
      </x:c>
      <x:c r="E24" s="34" t="str">
        <x:v>P041</x:v>
      </x:c>
      <x:c r="F24" s="35" t="n">
        <x:f>XLOOKUP(D24,Dynamic_Points!$A:$A,Dynamic_Points!$E:$E)</x:f>
        <x:v>316.85</x:v>
      </x:c>
      <x:c r="G24" s="35" t="n">
        <x:f>XLOOKUP(D24,Dynamic_Points!$A:$A,Dynamic_Points!$G:$G)</x:f>
        <x:v>449.35</x:v>
      </x:c>
      <x:c r="H24" s="35" t="n">
        <x:f>XLOOKUP(E24,Dynamic_Points!$A:$A,Dynamic_Points!$E:$E)</x:f>
        <x:v>365.85</x:v>
      </x:c>
      <x:c r="I24" s="35" t="n">
        <x:f>XLOOKUP(E24,Dynamic_Points!$A:$A,Dynamic_Points!$G:$G)</x:f>
        <x:v>449.35</x:v>
      </x:c>
      <x:c r="J24" s="35" t="n">
        <x:v>316.85</x:v>
      </x:c>
      <x:c r="K24" s="35" t="n">
        <x:v>449.35</x:v>
      </x:c>
      <x:c r="L24" s="35" t="n">
        <x:v>365.85</x:v>
      </x:c>
      <x:c r="M24" s="35" t="n">
        <x:v>449.35</x:v>
      </x:c>
      <x:c r="N24" s="35" t="n">
        <x:f>H24-F24</x:f>
        <x:v>49</x:v>
      </x:c>
      <x:c r="O24" s="35" t="n">
        <x:f>I24-G24</x:f>
        <x:v>0</x:v>
      </x:c>
      <x:c r="P24" s="35" t="n">
        <x:f>SQRT(N24^2+O24^2)</x:f>
        <x:v>49</x:v>
      </x:c>
      <x:c r="Q24" s="35" t="n">
        <x:f>IFERROR(ABS(DEGREES(ATAN(O24/N24))),IF(O24=0,0,90))</x:f>
        <x:v>0</x:v>
      </x:c>
      <x:c r="R24" s="34" t="str">
        <x:v>H mirror/counterpart</x:v>
      </x:c>
      <x:c r="S24" s="34" t="str">
        <x:v>Horizontal length = 49mm + Delta_H</x:v>
      </x:c>
      <x:c r="T24" s="34" t="str">
        <x:v>J3 is H-linked mirror/counterpart; it must stretch/shrink with H and keep both endpoints connected.</x:v>
      </x:c>
    </x:row>
    <x:row r="25">
      <x:c r="A25" s="34" t="str">
        <x:v>J1</x:v>
      </x:c>
      <x:c r="B25" s="34" t="str">
        <x:v>CUT</x:v>
      </x:c>
      <x:c r="C25" s="34" t="str">
        <x:v>CUT_15_object</x:v>
      </x:c>
      <x:c r="D25" s="34" t="str">
        <x:v>P005</x:v>
      </x:c>
      <x:c r="E25" s="34" t="str">
        <x:v>P040</x:v>
      </x:c>
      <x:c r="F25" s="35" t="n">
        <x:f>XLOOKUP(D25,Dynamic_Points!$A:$A,Dynamic_Points!$E:$E)</x:f>
        <x:v>315.85</x:v>
      </x:c>
      <x:c r="G25" s="35" t="n">
        <x:f>XLOOKUP(D25,Dynamic_Points!$A:$A,Dynamic_Points!$G:$G)</x:f>
        <x:v>450.35</x:v>
      </x:c>
      <x:c r="H25" s="35" t="n">
        <x:f>XLOOKUP(E25,Dynamic_Points!$A:$A,Dynamic_Points!$E:$E)</x:f>
        <x:v>316.85</x:v>
      </x:c>
      <x:c r="I25" s="35" t="n">
        <x:f>XLOOKUP(E25,Dynamic_Points!$A:$A,Dynamic_Points!$G:$G)</x:f>
        <x:v>449.35</x:v>
      </x:c>
      <x:c r="J25" s="35" t="n">
        <x:v>315.85</x:v>
      </x:c>
      <x:c r="K25" s="35" t="n">
        <x:v>450.35</x:v>
      </x:c>
      <x:c r="L25" s="35" t="n">
        <x:v>316.85</x:v>
      </x:c>
      <x:c r="M25" s="35" t="n">
        <x:v>449.35</x:v>
      </x:c>
      <x:c r="N25" s="35" t="n">
        <x:f>H25-F25</x:f>
        <x:v>1</x:v>
      </x:c>
      <x:c r="O25" s="35" t="n">
        <x:f>I25-G25</x:f>
        <x:v>-1</x:v>
      </x:c>
      <x:c r="P25" s="35" t="n">
        <x:f>SQRT(N25^2+O25^2)</x:f>
        <x:v>1.4142135623730951</x:v>
      </x:c>
      <x:c r="Q25" s="35" t="n">
        <x:f>IFERROR(ABS(DEGREES(ATAN(O25/N25))),IF(O25=0,0,90))</x:f>
        <x:v>45</x:v>
      </x:c>
      <x:c r="R25" s="34" t="str">
        <x:v>H mirror/counterpart</x:v>
      </x:c>
      <x:c r="S25" s="34" t="str">
        <x:v>Horizontal length = 49mm + Delta_H</x:v>
      </x:c>
      <x:c r="T25" s="34" t="str">
        <x:v>J2 is H-linked mirror/counterpart; it must stretch/shrink with H and keep both endpoints connected.</x:v>
      </x:c>
    </x:row>
    <x:row r="26">
      <x:c r="A26" s="34" t="str">
        <x:v>I4</x:v>
      </x:c>
      <x:c r="B26" s="34" t="str">
        <x:v>CUT</x:v>
      </x:c>
      <x:c r="C26" s="34" t="str">
        <x:v>CUT_9_object</x:v>
      </x:c>
      <x:c r="D26" s="34" t="str">
        <x:v>P044</x:v>
      </x:c>
      <x:c r="E26" s="34" t="str">
        <x:v>P039</x:v>
      </x:c>
      <x:c r="F26" s="35" t="n">
        <x:f>XLOOKUP(D26,Dynamic_Points!$A:$A,Dynamic_Points!$E:$E)</x:f>
        <x:v>381.35</x:v>
      </x:c>
      <x:c r="G26" s="35" t="n">
        <x:f>XLOOKUP(D26,Dynamic_Points!$A:$A,Dynamic_Points!$G:$G)</x:f>
        <x:v>264.97</x:v>
      </x:c>
      <x:c r="H26" s="35" t="n">
        <x:f>XLOOKUP(E26,Dynamic_Points!$A:$A,Dynamic_Points!$E:$E)</x:f>
        <x:v>365.85</x:v>
      </x:c>
      <x:c r="I26" s="35" t="n">
        <x:f>XLOOKUP(E26,Dynamic_Points!$A:$A,Dynamic_Points!$G:$G)</x:f>
        <x:v>261.35</x:v>
      </x:c>
      <x:c r="J26" s="35" t="n">
        <x:v>381.35</x:v>
      </x:c>
      <x:c r="K26" s="35" t="n">
        <x:v>264.97</x:v>
      </x:c>
      <x:c r="L26" s="35" t="n">
        <x:v>365.85</x:v>
      </x:c>
      <x:c r="M26" s="35" t="n">
        <x:v>261.35</x:v>
      </x:c>
      <x:c r="N26" s="35" t="n">
        <x:f>H26-F26</x:f>
        <x:v>-15.5</x:v>
      </x:c>
      <x:c r="O26" s="35" t="n">
        <x:f>I26-G26</x:f>
        <x:v>-3.6200000000000045</x:v>
      </x:c>
      <x:c r="P26" s="35" t="n">
        <x:f>SQRT(N26^2+O26^2)</x:f>
        <x:v>15.917110290501855</x:v>
      </x:c>
      <x:c r="Q26" s="35" t="n">
        <x:f>IFERROR(ABS(DEGREES(ATAN(O26/N26))),IF(O26=0,0,90))</x:f>
        <x:v>13.145707214565922</x:v>
      </x:c>
      <x:c r="R26" s="34" t="str">
        <x:v>W linked</x:v>
      </x:c>
      <x:c r="S26" s="34" t="str">
        <x:v>12 degrees</x:v>
      </x:c>
      <x:c r="T26" s="34" t="str">
        <x:v>Right outer top slant keeps 12°</x:v>
      </x:c>
    </x:row>
    <x:row r="27">
      <x:c r="A27" s="34" t="str">
        <x:v>I3</x:v>
      </x:c>
      <x:c r="B27" s="34" t="str">
        <x:v>CUT</x:v>
      </x:c>
      <x:c r="C27" s="34" t="str">
        <x:v>CUT_16_object</x:v>
      </x:c>
      <x:c r="D27" s="34" t="str">
        <x:v>P043</x:v>
      </x:c>
      <x:c r="E27" s="34" t="str">
        <x:v>P044</x:v>
      </x:c>
      <x:c r="F27" s="35" t="n">
        <x:f>XLOOKUP(D27,Dynamic_Points!$A:$A,Dynamic_Points!$E:$E)</x:f>
        <x:v>381.35</x:v>
      </x:c>
      <x:c r="G27" s="35" t="n">
        <x:f>XLOOKUP(D27,Dynamic_Points!$A:$A,Dynamic_Points!$G:$G)</x:f>
        <x:v>445.73</x:v>
      </x:c>
      <x:c r="H27" s="35" t="n">
        <x:f>XLOOKUP(E27,Dynamic_Points!$A:$A,Dynamic_Points!$E:$E)</x:f>
        <x:v>381.35</x:v>
      </x:c>
      <x:c r="I27" s="35" t="n">
        <x:f>XLOOKUP(E27,Dynamic_Points!$A:$A,Dynamic_Points!$G:$G)</x:f>
        <x:v>264.97</x:v>
      </x:c>
      <x:c r="J27" s="35" t="n">
        <x:v>381.35</x:v>
      </x:c>
      <x:c r="K27" s="35" t="n">
        <x:v>445.73</x:v>
      </x:c>
      <x:c r="L27" s="35" t="n">
        <x:v>381.35</x:v>
      </x:c>
      <x:c r="M27" s="35" t="n">
        <x:v>264.97</x:v>
      </x:c>
      <x:c r="N27" s="35" t="n">
        <x:f>H27-F27</x:f>
        <x:v>0</x:v>
      </x:c>
      <x:c r="O27" s="35" t="n">
        <x:f>I27-G27</x:f>
        <x:v>-180.76</x:v>
      </x:c>
      <x:c r="P27" s="35" t="n">
        <x:f>SQRT(N27^2+O27^2)</x:f>
        <x:v>180.76</x:v>
      </x:c>
      <x:c r="Q27" s="35" t="n">
        <x:f>IFERROR(ABS(DEGREES(ATAN(O27/N27))),IF(O27=0,0,90))</x:f>
        <x:v>90</x:v>
      </x:c>
      <x:c r="R27" s="34" t="str">
        <x:v>W</x:v>
      </x:c>
      <x:c r="S27" s="34" t="str">
        <x:v>Vertical linked to W</x:v>
      </x:c>
      <x:c r="T27" s="34" t="str">
        <x:v>Right outer vertical changes with W</x:v>
      </x:c>
    </x:row>
    <x:row r="28">
      <x:c r="A28" s="34" t="str">
        <x:v>I2</x:v>
      </x:c>
      <x:c r="B28" s="34" t="str">
        <x:v>CUT</x:v>
      </x:c>
      <x:c r="C28" s="34" t="str">
        <x:v>CUT_10_object</x:v>
      </x:c>
      <x:c r="D28" s="34" t="str">
        <x:v>P042</x:v>
      </x:c>
      <x:c r="E28" s="34" t="str">
        <x:v>P043</x:v>
      </x:c>
      <x:c r="F28" s="35" t="n">
        <x:f>XLOOKUP(D28,Dynamic_Points!$A:$A,Dynamic_Points!$E:$E)</x:f>
        <x:v>371.85</x:v>
      </x:c>
      <x:c r="G28" s="35" t="n">
        <x:f>XLOOKUP(D28,Dynamic_Points!$A:$A,Dynamic_Points!$G:$G)</x:f>
        <x:v>449.35</x:v>
      </x:c>
      <x:c r="H28" s="35" t="n">
        <x:f>XLOOKUP(E28,Dynamic_Points!$A:$A,Dynamic_Points!$E:$E)</x:f>
        <x:v>381.35</x:v>
      </x:c>
      <x:c r="I28" s="35" t="n">
        <x:f>XLOOKUP(E28,Dynamic_Points!$A:$A,Dynamic_Points!$G:$G)</x:f>
        <x:v>445.73</x:v>
      </x:c>
      <x:c r="J28" s="35" t="n">
        <x:v>371.85</x:v>
      </x:c>
      <x:c r="K28" s="35" t="n">
        <x:v>449.35</x:v>
      </x:c>
      <x:c r="L28" s="35" t="n">
        <x:v>381.35</x:v>
      </x:c>
      <x:c r="M28" s="35" t="n">
        <x:v>445.73</x:v>
      </x:c>
      <x:c r="N28" s="35" t="n">
        <x:f>H28-F28</x:f>
        <x:v>9.5</x:v>
      </x:c>
      <x:c r="O28" s="35" t="n">
        <x:f>I28-G28</x:f>
        <x:v>-3.6200000000000045</x:v>
      </x:c>
      <x:c r="P28" s="35" t="n">
        <x:f>SQRT(N28^2+O28^2)</x:f>
        <x:v>10.166336606664174</x:v>
      </x:c>
      <x:c r="Q28" s="35" t="n">
        <x:f>IFERROR(ABS(DEGREES(ATAN(O28/N28))),IF(O28=0,0,90))</x:f>
        <x:v>20.85947386548809</x:v>
      </x:c>
      <x:c r="R28" s="34" t="str">
        <x:v>W linked</x:v>
      </x:c>
      <x:c r="S28" s="34" t="str">
        <x:v>20.85 degrees</x:v>
      </x:c>
      <x:c r="T28" s="34" t="str">
        <x:v>Right outer lower slant keeps 20.85°</x:v>
      </x:c>
    </x:row>
    <x:row r="29">
      <x:c r="A29" s="34" t="str">
        <x:v>I1</x:v>
      </x:c>
      <x:c r="B29" s="34" t="str">
        <x:v>CUT</x:v>
      </x:c>
      <x:c r="C29" s="34" t="str">
        <x:v>CUT_41_object</x:v>
      </x:c>
      <x:c r="D29" s="34" t="str">
        <x:v>P041</x:v>
      </x:c>
      <x:c r="E29" s="34" t="str">
        <x:v>P042</x:v>
      </x:c>
      <x:c r="F29" s="35" t="n">
        <x:f>XLOOKUP(D29,Dynamic_Points!$A:$A,Dynamic_Points!$E:$E)</x:f>
        <x:v>365.85</x:v>
      </x:c>
      <x:c r="G29" s="35" t="n">
        <x:f>XLOOKUP(D29,Dynamic_Points!$A:$A,Dynamic_Points!$G:$G)</x:f>
        <x:v>449.35</x:v>
      </x:c>
      <x:c r="H29" s="35" t="n">
        <x:f>XLOOKUP(E29,Dynamic_Points!$A:$A,Dynamic_Points!$E:$E)</x:f>
        <x:v>371.85</x:v>
      </x:c>
      <x:c r="I29" s="35" t="n">
        <x:f>XLOOKUP(E29,Dynamic_Points!$A:$A,Dynamic_Points!$G:$G)</x:f>
        <x:v>449.35</x:v>
      </x:c>
      <x:c r="J29" s="35" t="n">
        <x:v>365.85</x:v>
      </x:c>
      <x:c r="K29" s="35" t="n">
        <x:v>449.35</x:v>
      </x:c>
      <x:c r="L29" s="35" t="n">
        <x:v>371.85</x:v>
      </x:c>
      <x:c r="M29" s="35" t="n">
        <x:v>449.35</x:v>
      </x:c>
      <x:c r="N29" s="35" t="n">
        <x:f>H29-F29</x:f>
        <x:v>6</x:v>
      </x:c>
      <x:c r="O29" s="35" t="n">
        <x:f>I29-G29</x:f>
        <x:v>0</x:v>
      </x:c>
      <x:c r="P29" s="35" t="n">
        <x:f>SQRT(N29^2+O29^2)</x:f>
        <x:v>6</x:v>
      </x:c>
      <x:c r="Q29" s="35" t="n">
        <x:f>IFERROR(ABS(DEGREES(ATAN(O29/N29))),IF(O29=0,0,90))</x:f>
        <x:v>0</x:v>
      </x:c>
      <x:c r="R29" s="34" t="str">
        <x:v>Linked</x:v>
      </x:c>
      <x:c r="S29" s="34" t="str">
        <x:v>Horizontal fixed 6mm</x:v>
      </x:c>
      <x:c r="T29" s="34" t="str">
        <x:v>Right lower small horizontal</x:v>
      </x:c>
    </x:row>
    <x:row r="30">
      <x:c r="A30" s="34" t="str">
        <x:v>H4</x:v>
      </x:c>
      <x:c r="B30" s="34" t="str">
        <x:v>CUT</x:v>
      </x:c>
      <x:c r="C30" s="34" t="str">
        <x:v>CUT_28_object</x:v>
      </x:c>
      <x:c r="D30" s="34" t="str">
        <x:v>P002</x:v>
      </x:c>
      <x:c r="E30" s="34" t="str">
        <x:v>P045</x:v>
      </x:c>
      <x:c r="F30" s="35" t="n">
        <x:f>XLOOKUP(D30,Dynamic_Points!$A:$A,Dynamic_Points!$E:$E)</x:f>
        <x:v>65.85</x:v>
      </x:c>
      <x:c r="G30" s="35" t="n">
        <x:f>XLOOKUP(D30,Dynamic_Points!$A:$A,Dynamic_Points!$G:$G)</x:f>
        <x:v>260.35</x:v>
      </x:c>
      <x:c r="H30" s="35" t="n">
        <x:f>XLOOKUP(E30,Dynamic_Points!$A:$A,Dynamic_Points!$E:$E)</x:f>
        <x:v>64.85</x:v>
      </x:c>
      <x:c r="I30" s="35" t="n">
        <x:f>XLOOKUP(E30,Dynamic_Points!$A:$A,Dynamic_Points!$G:$G)</x:f>
        <x:v>261.35</x:v>
      </x:c>
      <x:c r="J30" s="35" t="n">
        <x:v>65.85</x:v>
      </x:c>
      <x:c r="K30" s="35" t="n">
        <x:v>260.35</x:v>
      </x:c>
      <x:c r="L30" s="35" t="n">
        <x:v>64.85</x:v>
      </x:c>
      <x:c r="M30" s="35" t="n">
        <x:v>261.35</x:v>
      </x:c>
      <x:c r="N30" s="35" t="n">
        <x:f>H30-F30</x:f>
        <x:v>-1</x:v>
      </x:c>
      <x:c r="O30" s="35" t="n">
        <x:f>I30-G30</x:f>
        <x:v>1</x:v>
      </x:c>
      <x:c r="P30" s="35" t="n">
        <x:f>SQRT(N30^2+O30^2)</x:f>
        <x:v>1.4142135623730951</x:v>
      </x:c>
      <x:c r="Q30" s="35" t="n">
        <x:f>IFERROR(ABS(DEGREES(ATAN(O30/N30))),IF(O30=0,0,90))</x:f>
        <x:v>45</x:v>
      </x:c>
      <x:c r="R30" s="34" t="str">
        <x:v>Linked</x:v>
      </x:c>
      <x:c r="S30" s="34" t="str">
        <x:v>45 degrees fixed 1mm</x:v>
      </x:c>
      <x:c r="T30" s="34" t="str">
        <x:v>Left main side top connector</x:v>
      </x:c>
    </x:row>
    <x:row r="31">
      <x:c r="A31" s="34" t="str">
        <x:v>H3</x:v>
      </x:c>
      <x:c r="B31" s="34" t="str">
        <x:v>CUT</x:v>
      </x:c>
      <x:c r="C31" s="34" t="str">
        <x:v>CUT_19_object</x:v>
      </x:c>
      <x:c r="D31" s="34" t="str">
        <x:v>P045</x:v>
      </x:c>
      <x:c r="E31" s="34" t="str">
        <x:v>P046</x:v>
      </x:c>
      <x:c r="F31" s="35" t="n">
        <x:f>XLOOKUP(D31,Dynamic_Points!$A:$A,Dynamic_Points!$E:$E)</x:f>
        <x:v>64.85</x:v>
      </x:c>
      <x:c r="G31" s="35" t="n">
        <x:f>XLOOKUP(D31,Dynamic_Points!$A:$A,Dynamic_Points!$G:$G)</x:f>
        <x:v>261.35</x:v>
      </x:c>
      <x:c r="H31" s="35" t="n">
        <x:f>XLOOKUP(E31,Dynamic_Points!$A:$A,Dynamic_Points!$E:$E)</x:f>
        <x:v>15.849999999999994</x:v>
      </x:c>
      <x:c r="I31" s="35" t="n">
        <x:f>XLOOKUP(E31,Dynamic_Points!$A:$A,Dynamic_Points!$G:$G)</x:f>
        <x:v>261.35</x:v>
      </x:c>
      <x:c r="J31" s="35" t="n">
        <x:v>64.85</x:v>
      </x:c>
      <x:c r="K31" s="35" t="n">
        <x:v>261.35</x:v>
      </x:c>
      <x:c r="L31" s="35" t="n">
        <x:v>15.85</x:v>
      </x:c>
      <x:c r="M31" s="35" t="n">
        <x:v>261.35</x:v>
      </x:c>
      <x:c r="N31" s="35" t="n">
        <x:f>H31-F31</x:f>
        <x:v>-49</x:v>
      </x:c>
      <x:c r="O31" s="35" t="n">
        <x:f>I31-G31</x:f>
        <x:v>0</x:v>
      </x:c>
      <x:c r="P31" s="35" t="n">
        <x:f>SQRT(N31^2+O31^2)</x:f>
        <x:v>49</x:v>
      </x:c>
      <x:c r="Q31" s="35" t="n">
        <x:f>IFERROR(ABS(DEGREES(ATAN(O31/N31))),IF(O31=0,0,90))</x:f>
        <x:v>0</x:v>
      </x:c>
      <x:c r="R31" s="34" t="str">
        <x:v>H mirror/counterpart</x:v>
      </x:c>
      <x:c r="S31" s="34" t="str">
        <x:v>Horizontal length = 49mm + Delta_H</x:v>
      </x:c>
      <x:c r="T31" s="34" t="str">
        <x:v>H3 is H-linked mirror/counterpart; it must stretch/shrink with H and keep both endpoints connected.</x:v>
      </x:c>
    </x:row>
    <x:row r="32">
      <x:c r="A32" s="34" t="str">
        <x:v>H2</x:v>
      </x:c>
      <x:c r="B32" s="34" t="str">
        <x:v>CUT</x:v>
      </x:c>
      <x:c r="C32" s="34" t="str">
        <x:v>CUT_32_object</x:v>
      </x:c>
      <x:c r="D32" s="34" t="str">
        <x:v>P047</x:v>
      </x:c>
      <x:c r="E32" s="34" t="str">
        <x:v>P048</x:v>
      </x:c>
      <x:c r="F32" s="35" t="n">
        <x:f>XLOOKUP(D32,Dynamic_Points!$A:$A,Dynamic_Points!$E:$E)</x:f>
        <x:v>64.85</x:v>
      </x:c>
      <x:c r="G32" s="35" t="n">
        <x:f>XLOOKUP(D32,Dynamic_Points!$A:$A,Dynamic_Points!$G:$G)</x:f>
        <x:v>449.35</x:v>
      </x:c>
      <x:c r="H32" s="35" t="n">
        <x:f>XLOOKUP(E32,Dynamic_Points!$A:$A,Dynamic_Points!$E:$E)</x:f>
        <x:v>15.849999999999994</x:v>
      </x:c>
      <x:c r="I32" s="35" t="n">
        <x:f>XLOOKUP(E32,Dynamic_Points!$A:$A,Dynamic_Points!$G:$G)</x:f>
        <x:v>449.35</x:v>
      </x:c>
      <x:c r="J32" s="35" t="n">
        <x:v>64.85</x:v>
      </x:c>
      <x:c r="K32" s="35" t="n">
        <x:v>449.35</x:v>
      </x:c>
      <x:c r="L32" s="35" t="n">
        <x:v>15.85</x:v>
      </x:c>
      <x:c r="M32" s="35" t="n">
        <x:v>449.35</x:v>
      </x:c>
      <x:c r="N32" s="35" t="n">
        <x:f>H32-F32</x:f>
        <x:v>-49</x:v>
      </x:c>
      <x:c r="O32" s="35" t="n">
        <x:f>I32-G32</x:f>
        <x:v>0</x:v>
      </x:c>
      <x:c r="P32" s="35" t="n">
        <x:f>SQRT(N32^2+O32^2)</x:f>
        <x:v>49</x:v>
      </x:c>
      <x:c r="Q32" s="35" t="n">
        <x:f>IFERROR(ABS(DEGREES(ATAN(O32/N32))),IF(O32=0,0,90))</x:f>
        <x:v>0</x:v>
      </x:c>
      <x:c r="R32" s="34" t="str">
        <x:v>H mirror/counterpart</x:v>
      </x:c>
      <x:c r="S32" s="34" t="str">
        <x:v>Horizontal length = 49mm + Delta_H</x:v>
      </x:c>
      <x:c r="T32" s="34" t="str">
        <x:v>H2 is H-linked mirror/counterpart; it must stretch/shrink with H and keep both endpoints connected.</x:v>
      </x:c>
    </x:row>
    <x:row r="33">
      <x:c r="A33" s="34" t="str">
        <x:v>H1</x:v>
      </x:c>
      <x:c r="B33" s="34" t="str">
        <x:v>CUT</x:v>
      </x:c>
      <x:c r="C33" s="34" t="str">
        <x:v>CUT_33_object</x:v>
      </x:c>
      <x:c r="D33" s="34" t="str">
        <x:v>P006</x:v>
      </x:c>
      <x:c r="E33" s="34" t="str">
        <x:v>P047</x:v>
      </x:c>
      <x:c r="F33" s="35" t="n">
        <x:f>XLOOKUP(D33,Dynamic_Points!$A:$A,Dynamic_Points!$E:$E)</x:f>
        <x:v>65.85</x:v>
      </x:c>
      <x:c r="G33" s="35" t="n">
        <x:f>XLOOKUP(D33,Dynamic_Points!$A:$A,Dynamic_Points!$G:$G)</x:f>
        <x:v>450.35</x:v>
      </x:c>
      <x:c r="H33" s="35" t="n">
        <x:f>XLOOKUP(E33,Dynamic_Points!$A:$A,Dynamic_Points!$E:$E)</x:f>
        <x:v>64.85</x:v>
      </x:c>
      <x:c r="I33" s="35" t="n">
        <x:f>XLOOKUP(E33,Dynamic_Points!$A:$A,Dynamic_Points!$G:$G)</x:f>
        <x:v>449.35</x:v>
      </x:c>
      <x:c r="J33" s="35" t="n">
        <x:v>65.85</x:v>
      </x:c>
      <x:c r="K33" s="35" t="n">
        <x:v>450.35</x:v>
      </x:c>
      <x:c r="L33" s="35" t="n">
        <x:v>64.85</x:v>
      </x:c>
      <x:c r="M33" s="35" t="n">
        <x:v>449.35</x:v>
      </x:c>
      <x:c r="N33" s="35" t="n">
        <x:f>H33-F33</x:f>
        <x:v>-1</x:v>
      </x:c>
      <x:c r="O33" s="35" t="n">
        <x:f>I33-G33</x:f>
        <x:v>-1</x:v>
      </x:c>
      <x:c r="P33" s="35" t="n">
        <x:f>SQRT(N33^2+O33^2)</x:f>
        <x:v>1.4142135623730951</x:v>
      </x:c>
      <x:c r="Q33" s="35" t="n">
        <x:f>IFERROR(ABS(DEGREES(ATAN(O33/N33))),IF(O33=0,0,90))</x:f>
        <x:v>45</x:v>
      </x:c>
      <x:c r="R33" s="34" t="str">
        <x:v>Linked</x:v>
      </x:c>
      <x:c r="S33" s="34" t="str">
        <x:v>45 degrees fixed 1mm</x:v>
      </x:c>
      <x:c r="T33" s="34" t="str">
        <x:v>Left main side bottom connector</x:v>
      </x:c>
    </x:row>
    <x:row r="34">
      <x:c r="A34" s="34" t="str">
        <x:v>G4</x:v>
      </x:c>
      <x:c r="B34" s="34" t="str">
        <x:v>CUT</x:v>
      </x:c>
      <x:c r="C34" s="34" t="str">
        <x:v>CUT_26_object</x:v>
      </x:c>
      <x:c r="D34" s="34" t="str">
        <x:v>P051</x:v>
      </x:c>
      <x:c r="E34" s="34" t="str">
        <x:v>P046</x:v>
      </x:c>
      <x:c r="F34" s="35" t="n">
        <x:f>XLOOKUP(D34,Dynamic_Points!$A:$A,Dynamic_Points!$E:$E)</x:f>
        <x:v>0.3499999999999943</x:v>
      </x:c>
      <x:c r="G34" s="35" t="n">
        <x:f>XLOOKUP(D34,Dynamic_Points!$A:$A,Dynamic_Points!$G:$G)</x:f>
        <x:v>264.97</x:v>
      </x:c>
      <x:c r="H34" s="35" t="n">
        <x:f>XLOOKUP(E34,Dynamic_Points!$A:$A,Dynamic_Points!$E:$E)</x:f>
        <x:v>15.849999999999994</x:v>
      </x:c>
      <x:c r="I34" s="35" t="n">
        <x:f>XLOOKUP(E34,Dynamic_Points!$A:$A,Dynamic_Points!$G:$G)</x:f>
        <x:v>261.35</x:v>
      </x:c>
      <x:c r="J34" s="35" t="n">
        <x:v>0.35</x:v>
      </x:c>
      <x:c r="K34" s="35" t="n">
        <x:v>264.97</x:v>
      </x:c>
      <x:c r="L34" s="35" t="n">
        <x:v>15.85</x:v>
      </x:c>
      <x:c r="M34" s="35" t="n">
        <x:v>261.35</x:v>
      </x:c>
      <x:c r="N34" s="35" t="n">
        <x:f>H34-F34</x:f>
        <x:v>15.5</x:v>
      </x:c>
      <x:c r="O34" s="35" t="n">
        <x:f>I34-G34</x:f>
        <x:v>-3.6200000000000045</x:v>
      </x:c>
      <x:c r="P34" s="35" t="n">
        <x:f>SQRT(N34^2+O34^2)</x:f>
        <x:v>15.917110290501855</x:v>
      </x:c>
      <x:c r="Q34" s="35" t="n">
        <x:f>IFERROR(ABS(DEGREES(ATAN(O34/N34))),IF(O34=0,0,90))</x:f>
        <x:v>13.145707214565922</x:v>
      </x:c>
      <x:c r="R34" s="34" t="str">
        <x:v>W linked</x:v>
      </x:c>
      <x:c r="S34" s="34" t="str">
        <x:v>12 degrees</x:v>
      </x:c>
      <x:c r="T34" s="34" t="str">
        <x:v>Left outer top slant keeps 12°</x:v>
      </x:c>
    </x:row>
    <x:row r="35">
      <x:c r="A35" s="34" t="str">
        <x:v>G3</x:v>
      </x:c>
      <x:c r="B35" s="34" t="str">
        <x:v>CUT</x:v>
      </x:c>
      <x:c r="C35" s="34" t="str">
        <x:v>CUT_34_object</x:v>
      </x:c>
      <x:c r="D35" s="34" t="str">
        <x:v>P050</x:v>
      </x:c>
      <x:c r="E35" s="34" t="str">
        <x:v>P051</x:v>
      </x:c>
      <x:c r="F35" s="35" t="n">
        <x:f>XLOOKUP(D35,Dynamic_Points!$A:$A,Dynamic_Points!$E:$E)</x:f>
        <x:v>0.3499999999999943</x:v>
      </x:c>
      <x:c r="G35" s="35" t="n">
        <x:f>XLOOKUP(D35,Dynamic_Points!$A:$A,Dynamic_Points!$G:$G)</x:f>
        <x:v>445.73</x:v>
      </x:c>
      <x:c r="H35" s="35" t="n">
        <x:f>XLOOKUP(E35,Dynamic_Points!$A:$A,Dynamic_Points!$E:$E)</x:f>
        <x:v>0.3499999999999943</x:v>
      </x:c>
      <x:c r="I35" s="35" t="n">
        <x:f>XLOOKUP(E35,Dynamic_Points!$A:$A,Dynamic_Points!$G:$G)</x:f>
        <x:v>264.97</x:v>
      </x:c>
      <x:c r="J35" s="35" t="n">
        <x:v>0.35</x:v>
      </x:c>
      <x:c r="K35" s="35" t="n">
        <x:v>445.73</x:v>
      </x:c>
      <x:c r="L35" s="35" t="n">
        <x:v>0.35</x:v>
      </x:c>
      <x:c r="M35" s="35" t="n">
        <x:v>264.97</x:v>
      </x:c>
      <x:c r="N35" s="35" t="n">
        <x:f>H35-F35</x:f>
        <x:v>0</x:v>
      </x:c>
      <x:c r="O35" s="35" t="n">
        <x:f>I35-G35</x:f>
        <x:v>-180.76</x:v>
      </x:c>
      <x:c r="P35" s="35" t="n">
        <x:f>SQRT(N35^2+O35^2)</x:f>
        <x:v>180.76</x:v>
      </x:c>
      <x:c r="Q35" s="35" t="n">
        <x:f>IFERROR(ABS(DEGREES(ATAN(O35/N35))),IF(O35=0,0,90))</x:f>
        <x:v>90</x:v>
      </x:c>
      <x:c r="R35" s="34" t="str">
        <x:v>W</x:v>
      </x:c>
      <x:c r="S35" s="34" t="str">
        <x:v>Vertical linked to W</x:v>
      </x:c>
      <x:c r="T35" s="34" t="str">
        <x:v>Left outer vertical changes with W</x:v>
      </x:c>
    </x:row>
    <x:row r="36">
      <x:c r="A36" s="34" t="str">
        <x:v>G2</x:v>
      </x:c>
      <x:c r="B36" s="34" t="str">
        <x:v>CUT</x:v>
      </x:c>
      <x:c r="C36" s="34" t="str">
        <x:v>CUT_27_object</x:v>
      </x:c>
      <x:c r="D36" s="34" t="str">
        <x:v>P049</x:v>
      </x:c>
      <x:c r="E36" s="34" t="str">
        <x:v>P050</x:v>
      </x:c>
      <x:c r="F36" s="35" t="n">
        <x:f>XLOOKUP(D36,Dynamic_Points!$A:$A,Dynamic_Points!$E:$E)</x:f>
        <x:v>9.849999999999994</x:v>
      </x:c>
      <x:c r="G36" s="35" t="n">
        <x:f>XLOOKUP(D36,Dynamic_Points!$A:$A,Dynamic_Points!$G:$G)</x:f>
        <x:v>449.35</x:v>
      </x:c>
      <x:c r="H36" s="35" t="n">
        <x:f>XLOOKUP(E36,Dynamic_Points!$A:$A,Dynamic_Points!$E:$E)</x:f>
        <x:v>0.3499999999999943</x:v>
      </x:c>
      <x:c r="I36" s="35" t="n">
        <x:f>XLOOKUP(E36,Dynamic_Points!$A:$A,Dynamic_Points!$G:$G)</x:f>
        <x:v>445.73</x:v>
      </x:c>
      <x:c r="J36" s="35" t="n">
        <x:v>9.85</x:v>
      </x:c>
      <x:c r="K36" s="35" t="n">
        <x:v>449.35</x:v>
      </x:c>
      <x:c r="L36" s="35" t="n">
        <x:v>0.35</x:v>
      </x:c>
      <x:c r="M36" s="35" t="n">
        <x:v>445.73</x:v>
      </x:c>
      <x:c r="N36" s="35" t="n">
        <x:f>H36-F36</x:f>
        <x:v>-9.5</x:v>
      </x:c>
      <x:c r="O36" s="35" t="n">
        <x:f>I36-G36</x:f>
        <x:v>-3.6200000000000045</x:v>
      </x:c>
      <x:c r="P36" s="35" t="n">
        <x:f>SQRT(N36^2+O36^2)</x:f>
        <x:v>10.166336606664174</x:v>
      </x:c>
      <x:c r="Q36" s="35" t="n">
        <x:f>IFERROR(ABS(DEGREES(ATAN(O36/N36))),IF(O36=0,0,90))</x:f>
        <x:v>20.85947386548809</x:v>
      </x:c>
      <x:c r="R36" s="34" t="str">
        <x:v>W linked</x:v>
      </x:c>
      <x:c r="S36" s="34" t="str">
        <x:v>20.85 degrees</x:v>
      </x:c>
      <x:c r="T36" s="34" t="str">
        <x:v>Left outer lower slant keeps 20.85°</x:v>
      </x:c>
    </x:row>
    <x:row r="37">
      <x:c r="A37" s="34" t="str">
        <x:v>G1</x:v>
      </x:c>
      <x:c r="B37" s="34" t="str">
        <x:v>CUT</x:v>
      </x:c>
      <x:c r="C37" s="34" t="str">
        <x:v>CUT_42_object</x:v>
      </x:c>
      <x:c r="D37" s="34" t="str">
        <x:v>P048</x:v>
      </x:c>
      <x:c r="E37" s="34" t="str">
        <x:v>P049</x:v>
      </x:c>
      <x:c r="F37" s="35" t="n">
        <x:f>XLOOKUP(D37,Dynamic_Points!$A:$A,Dynamic_Points!$E:$E)</x:f>
        <x:v>15.849999999999994</x:v>
      </x:c>
      <x:c r="G37" s="35" t="n">
        <x:f>XLOOKUP(D37,Dynamic_Points!$A:$A,Dynamic_Points!$G:$G)</x:f>
        <x:v>449.35</x:v>
      </x:c>
      <x:c r="H37" s="35" t="n">
        <x:f>XLOOKUP(E37,Dynamic_Points!$A:$A,Dynamic_Points!$E:$E)</x:f>
        <x:v>9.849999999999994</x:v>
      </x:c>
      <x:c r="I37" s="35" t="n">
        <x:f>XLOOKUP(E37,Dynamic_Points!$A:$A,Dynamic_Points!$G:$G)</x:f>
        <x:v>449.35</x:v>
      </x:c>
      <x:c r="J37" s="35" t="n">
        <x:v>15.85</x:v>
      </x:c>
      <x:c r="K37" s="35" t="n">
        <x:v>449.35</x:v>
      </x:c>
      <x:c r="L37" s="35" t="n">
        <x:v>9.85</x:v>
      </x:c>
      <x:c r="M37" s="35" t="n">
        <x:v>449.35</x:v>
      </x:c>
      <x:c r="N37" s="35" t="n">
        <x:f>H37-F37</x:f>
        <x:v>-6</x:v>
      </x:c>
      <x:c r="O37" s="35" t="n">
        <x:f>I37-G37</x:f>
        <x:v>0</x:v>
      </x:c>
      <x:c r="P37" s="35" t="n">
        <x:f>SQRT(N37^2+O37^2)</x:f>
        <x:v>6</x:v>
      </x:c>
      <x:c r="Q37" s="35" t="n">
        <x:f>IFERROR(ABS(DEGREES(ATAN(O37/N37))),IF(O37=0,0,90))</x:f>
        <x:v>0</x:v>
      </x:c>
      <x:c r="R37" s="34" t="str">
        <x:v>Linked</x:v>
      </x:c>
      <x:c r="S37" s="34" t="str">
        <x:v>Horizontal fixed 6mm</x:v>
      </x:c>
      <x:c r="T37" s="34" t="str">
        <x:v>Left lower small horizontal</x:v>
      </x:c>
    </x:row>
    <x:row r="38">
      <x:c r="A38" s="34" t="str">
        <x:v>F1</x:v>
      </x:c>
      <x:c r="B38" s="34" t="str">
        <x:v>CUT</x:v>
      </x:c>
      <x:c r="C38" s="34" t="str">
        <x:v>CUT_7_object</x:v>
      </x:c>
      <x:c r="D38" s="34" t="str">
        <x:v>P005</x:v>
      </x:c>
      <x:c r="E38" s="34" t="str">
        <x:v>P030</x:v>
      </x:c>
      <x:c r="F38" s="35" t="n">
        <x:f>XLOOKUP(D38,Dynamic_Points!$A:$A,Dynamic_Points!$E:$E)</x:f>
        <x:v>315.85</x:v>
      </x:c>
      <x:c r="G38" s="35" t="n">
        <x:f>XLOOKUP(D38,Dynamic_Points!$A:$A,Dynamic_Points!$G:$G)</x:f>
        <x:v>450.35</x:v>
      </x:c>
      <x:c r="H38" s="35" t="n">
        <x:f>XLOOKUP(E38,Dynamic_Points!$A:$A,Dynamic_Points!$E:$E)</x:f>
        <x:v>318.85</x:v>
      </x:c>
      <x:c r="I38" s="35" t="n">
        <x:f>XLOOKUP(E38,Dynamic_Points!$A:$A,Dynamic_Points!$G:$G)</x:f>
        <x:v>453.35</x:v>
      </x:c>
      <x:c r="J38" s="35" t="n">
        <x:v>315.85</x:v>
      </x:c>
      <x:c r="K38" s="35" t="n">
        <x:v>450.35</x:v>
      </x:c>
      <x:c r="L38" s="35" t="n">
        <x:v>318.85</x:v>
      </x:c>
      <x:c r="M38" s="35" t="n">
        <x:v>453.35</x:v>
      </x:c>
      <x:c r="N38" s="35" t="n">
        <x:f>H38-F38</x:f>
        <x:v>3</x:v>
      </x:c>
      <x:c r="O38" s="35" t="n">
        <x:f>I38-G38</x:f>
        <x:v>3</x:v>
      </x:c>
      <x:c r="P38" s="35" t="n">
        <x:f>SQRT(N38^2+O38^2)</x:f>
        <x:v>4.242640687119285</x:v>
      </x:c>
      <x:c r="Q38" s="35" t="n">
        <x:f>IFERROR(ABS(DEGREES(ATAN(O38/N38))),IF(O38=0,0,90))</x:f>
        <x:v>45</x:v>
      </x:c>
      <x:c r="R38" s="34" t="str">
        <x:v>H linked</x:v>
      </x:c>
      <x:c r="S38" s="34" t="str">
        <x:v>45 degrees</x:v>
      </x:c>
      <x:c r="T38" s="34" t="str">
        <x:v>Bottom-right tab upper 45°</x:v>
      </x:c>
    </x:row>
    <x:row r="39">
      <x:c r="A39" s="34" t="str">
        <x:v>F2</x:v>
      </x:c>
      <x:c r="B39" s="34" t="str">
        <x:v>CUT</x:v>
      </x:c>
      <x:c r="C39" s="34" t="str">
        <x:v>CUT_39_object</x:v>
      </x:c>
      <x:c r="D39" s="34" t="str">
        <x:v>P030</x:v>
      </x:c>
      <x:c r="E39" s="34" t="str">
        <x:v>P031</x:v>
      </x:c>
      <x:c r="F39" s="35" t="n">
        <x:f>XLOOKUP(D39,Dynamic_Points!$A:$A,Dynamic_Points!$E:$E)</x:f>
        <x:v>318.85</x:v>
      </x:c>
      <x:c r="G39" s="35" t="n">
        <x:f>XLOOKUP(D39,Dynamic_Points!$A:$A,Dynamic_Points!$G:$G)</x:f>
        <x:v>453.35</x:v>
      </x:c>
      <x:c r="H39" s="35" t="n">
        <x:f>XLOOKUP(E39,Dynamic_Points!$A:$A,Dynamic_Points!$E:$E)</x:f>
        <x:v>365.85</x:v>
      </x:c>
      <x:c r="I39" s="35" t="n">
        <x:f>XLOOKUP(E39,Dynamic_Points!$A:$A,Dynamic_Points!$G:$G)</x:f>
        <x:v>463.35</x:v>
      </x:c>
      <x:c r="J39" s="35" t="n">
        <x:v>318.85</x:v>
      </x:c>
      <x:c r="K39" s="35" t="n">
        <x:v>453.35</x:v>
      </x:c>
      <x:c r="L39" s="35" t="n">
        <x:v>365.85</x:v>
      </x:c>
      <x:c r="M39" s="35" t="n">
        <x:v>463.35</x:v>
      </x:c>
      <x:c r="N39" s="35" t="n">
        <x:f>H39-F39</x:f>
        <x:v>47</x:v>
      </x:c>
      <x:c r="O39" s="35" t="n">
        <x:f>I39-G39</x:f>
        <x:v>10</x:v>
      </x:c>
      <x:c r="P39" s="35" t="n">
        <x:f>SQRT(N39^2+O39^2)</x:f>
        <x:v>48.05205510693585</x:v>
      </x:c>
      <x:c r="Q39" s="35" t="n">
        <x:f>IFERROR(ABS(DEGREES(ATAN(O39/N39))),IF(O39=0,0,90))</x:f>
        <x:v>12.011478386365443</x:v>
      </x:c>
      <x:c r="R39" s="34" t="str">
        <x:v>H / F_AREA_WIDTH mirror of C2</x:v>
      </x:c>
      <x:c r="S39" s="34" t="str">
        <x:v>12°; horizontal = H - 3; vertical = (H - 3)*TAN(12°)</x:v>
      </x:c>
      <x:c r="T39" s="34" t="str">
        <x:v>F2 mirrors C2; preserve 12° while resizing in F direction.</x:v>
      </x:c>
    </x:row>
    <x:row r="40">
      <x:c r="A40" s="34" t="str">
        <x:v>F3</x:v>
      </x:c>
      <x:c r="B40" s="34" t="str">
        <x:v>CUT</x:v>
      </x:c>
      <x:c r="C40" s="34" t="str">
        <x:v>CUT_40_object</x:v>
      </x:c>
      <x:c r="D40" s="34" t="str">
        <x:v>P032</x:v>
      </x:c>
      <x:c r="E40" s="34" t="str">
        <x:v>P031</x:v>
      </x:c>
      <x:c r="F40" s="35" t="n">
        <x:f>XLOOKUP(D40,Dynamic_Points!$A:$A,Dynamic_Points!$E:$E)</x:f>
        <x:v>365.85</x:v>
      </x:c>
      <x:c r="G40" s="35" t="n">
        <x:f>XLOOKUP(D40,Dynamic_Points!$A:$A,Dynamic_Points!$G:$G)</x:f>
        <x:v>497.35</x:v>
      </x:c>
      <x:c r="H40" s="35" t="n">
        <x:f>XLOOKUP(E40,Dynamic_Points!$A:$A,Dynamic_Points!$E:$E)</x:f>
        <x:v>365.85</x:v>
      </x:c>
      <x:c r="I40" s="35" t="n">
        <x:f>XLOOKUP(E40,Dynamic_Points!$A:$A,Dynamic_Points!$G:$G)</x:f>
        <x:v>463.35</x:v>
      </x:c>
      <x:c r="J40" s="35" t="n">
        <x:v>365.85</x:v>
      </x:c>
      <x:c r="K40" s="35" t="n">
        <x:v>497.35</x:v>
      </x:c>
      <x:c r="L40" s="35" t="n">
        <x:v>365.85</x:v>
      </x:c>
      <x:c r="M40" s="35" t="n">
        <x:v>463.35</x:v>
      </x:c>
      <x:c r="N40" s="35" t="n">
        <x:f>H40-F40</x:f>
        <x:v>0</x:v>
      </x:c>
      <x:c r="O40" s="35" t="n">
        <x:f>I40-G40</x:f>
        <x:v>-34</x:v>
      </x:c>
      <x:c r="P40" s="35" t="n">
        <x:f>SQRT(N40^2+O40^2)</x:f>
        <x:v>34</x:v>
      </x:c>
      <x:c r="Q40" s="35" t="n">
        <x:f>IFERROR(ABS(DEGREES(ATAN(O40/N40))),IF(O40=0,0,90))</x:f>
        <x:v>90</x:v>
      </x:c>
      <x:c r="R40" s="34" t="str">
        <x:v>H</x:v>
      </x:c>
      <x:c r="S40" s="34" t="str">
        <x:v>Vertical length = H - 16mm</x:v>
      </x:c>
      <x:c r="T40" s="34" t="str">
        <x:v>Bottom-right tab vertical stretches with H</x:v>
      </x:c>
    </x:row>
    <x:row r="41">
      <x:c r="A41" s="34" t="str">
        <x:v>F4</x:v>
      </x:c>
      <x:c r="B41" s="34" t="str">
        <x:v>CUT</x:v>
      </x:c>
      <x:c r="C41" s="34" t="str">
        <x:v>CUT_8_object</x:v>
      </x:c>
      <x:c r="D41" s="34" t="str">
        <x:v>P033</x:v>
      </x:c>
      <x:c r="E41" s="34" t="str">
        <x:v>P032</x:v>
      </x:c>
      <x:c r="F41" s="35" t="n">
        <x:f>XLOOKUP(D41,Dynamic_Points!$A:$A,Dynamic_Points!$E:$E)</x:f>
        <x:v>318.85</x:v>
      </x:c>
      <x:c r="G41" s="35" t="n">
        <x:f>XLOOKUP(D41,Dynamic_Points!$A:$A,Dynamic_Points!$G:$G)</x:f>
        <x:v>497.35</x:v>
      </x:c>
      <x:c r="H41" s="35" t="n">
        <x:f>XLOOKUP(E41,Dynamic_Points!$A:$A,Dynamic_Points!$E:$E)</x:f>
        <x:v>365.85</x:v>
      </x:c>
      <x:c r="I41" s="35" t="n">
        <x:f>XLOOKUP(E41,Dynamic_Points!$A:$A,Dynamic_Points!$G:$G)</x:f>
        <x:v>497.35</x:v>
      </x:c>
      <x:c r="J41" s="35" t="n">
        <x:v>318.85</x:v>
      </x:c>
      <x:c r="K41" s="35" t="n">
        <x:v>497.35</x:v>
      </x:c>
      <x:c r="L41" s="35" t="n">
        <x:v>365.85</x:v>
      </x:c>
      <x:c r="M41" s="35" t="n">
        <x:v>497.35</x:v>
      </x:c>
      <x:c r="N41" s="35" t="n">
        <x:f>H41-F41</x:f>
        <x:v>47</x:v>
      </x:c>
      <x:c r="O41" s="35" t="n">
        <x:f>I41-G41</x:f>
        <x:v>0</x:v>
      </x:c>
      <x:c r="P41" s="35" t="n">
        <x:f>SQRT(N41^2+O41^2)</x:f>
        <x:v>47</x:v>
      </x:c>
      <x:c r="Q41" s="35" t="n">
        <x:f>IFERROR(ABS(DEGREES(ATAN(O41/N41))),IF(O41=0,0,90))</x:f>
        <x:v>0</x:v>
      </x:c>
      <x:c r="R41" s="34" t="str">
        <x:v>H / F_AREA_WIDTH mirror of C4</x:v>
      </x:c>
      <x:c r="S41" s="34" t="str">
        <x:v>Horizontal length = F_AREA_Width = H - 3</x:v>
      </x:c>
      <x:c r="T41" s="34" t="str">
        <x:v>F4 mirrors C4; resize according to same C AREA rule in F direction.</x:v>
      </x:c>
    </x:row>
    <x:row r="42">
      <x:c r="A42" s="34" t="str">
        <x:v>F5</x:v>
      </x:c>
      <x:c r="B42" s="34" t="str">
        <x:v>CUT</x:v>
      </x:c>
      <x:c r="C42" s="34" t="str">
        <x:v>CUT_6_object</x:v>
      </x:c>
      <x:c r="D42" s="34" t="str">
        <x:v>P007</x:v>
      </x:c>
      <x:c r="E42" s="34" t="str">
        <x:v>P033</x:v>
      </x:c>
      <x:c r="F42" s="35" t="n">
        <x:f>XLOOKUP(D42,Dynamic_Points!$A:$A,Dynamic_Points!$E:$E)</x:f>
        <x:v>315.85</x:v>
      </x:c>
      <x:c r="G42" s="35" t="n">
        <x:f>XLOOKUP(D42,Dynamic_Points!$A:$A,Dynamic_Points!$G:$G)</x:f>
        <x:v>500.35</x:v>
      </x:c>
      <x:c r="H42" s="35" t="n">
        <x:f>XLOOKUP(E42,Dynamic_Points!$A:$A,Dynamic_Points!$E:$E)</x:f>
        <x:v>318.85</x:v>
      </x:c>
      <x:c r="I42" s="35" t="n">
        <x:f>XLOOKUP(E42,Dynamic_Points!$A:$A,Dynamic_Points!$G:$G)</x:f>
        <x:v>497.35</x:v>
      </x:c>
      <x:c r="J42" s="35" t="n">
        <x:v>315.85</x:v>
      </x:c>
      <x:c r="K42" s="35" t="n">
        <x:v>500.35</x:v>
      </x:c>
      <x:c r="L42" s="35" t="n">
        <x:v>318.85</x:v>
      </x:c>
      <x:c r="M42" s="35" t="n">
        <x:v>497.35</x:v>
      </x:c>
      <x:c r="N42" s="35" t="n">
        <x:f>H42-F42</x:f>
        <x:v>3</x:v>
      </x:c>
      <x:c r="O42" s="35" t="n">
        <x:f>I42-G42</x:f>
        <x:v>-3</x:v>
      </x:c>
      <x:c r="P42" s="35" t="n">
        <x:f>SQRT(N42^2+O42^2)</x:f>
        <x:v>4.242640687119285</x:v>
      </x:c>
      <x:c r="Q42" s="35" t="n">
        <x:f>IFERROR(ABS(DEGREES(ATAN(O42/N42))),IF(O42=0,0,90))</x:f>
        <x:v>45</x:v>
      </x:c>
      <x:c r="R42" s="34" t="str">
        <x:v>H linked</x:v>
      </x:c>
      <x:c r="S42" s="34" t="str">
        <x:v>45 degrees</x:v>
      </x:c>
      <x:c r="T42" s="34" t="str">
        <x:v>Bottom-right tab lower 45°</x:v>
      </x:c>
    </x:row>
    <x:row r="43">
      <x:c r="A43" s="34" t="str">
        <x:v>E1</x:v>
      </x:c>
      <x:c r="B43" s="34" t="str">
        <x:v>CUT</x:v>
      </x:c>
      <x:c r="C43" s="34" t="str">
        <x:v>CUT_21_object</x:v>
      </x:c>
      <x:c r="D43" s="34" t="str">
        <x:v>P008</x:v>
      </x:c>
      <x:c r="E43" s="34" t="str">
        <x:v>P037</x:v>
      </x:c>
      <x:c r="F43" s="35" t="n">
        <x:f>XLOOKUP(D43,Dynamic_Points!$A:$A,Dynamic_Points!$E:$E)</x:f>
        <x:v>65.85</x:v>
      </x:c>
      <x:c r="G43" s="35" t="n">
        <x:f>XLOOKUP(D43,Dynamic_Points!$A:$A,Dynamic_Points!$G:$G)</x:f>
        <x:v>500.35</x:v>
      </x:c>
      <x:c r="H43" s="35" t="n">
        <x:f>XLOOKUP(E43,Dynamic_Points!$A:$A,Dynamic_Points!$E:$E)</x:f>
        <x:v>62.849999999999994</x:v>
      </x:c>
      <x:c r="I43" s="35" t="n">
        <x:f>XLOOKUP(E43,Dynamic_Points!$A:$A,Dynamic_Points!$G:$G)</x:f>
        <x:v>497.35</x:v>
      </x:c>
      <x:c r="J43" s="35" t="n">
        <x:v>65.85</x:v>
      </x:c>
      <x:c r="K43" s="35" t="n">
        <x:v>500.35</x:v>
      </x:c>
      <x:c r="L43" s="35" t="n">
        <x:v>62.85</x:v>
      </x:c>
      <x:c r="M43" s="35" t="n">
        <x:v>497.35</x:v>
      </x:c>
      <x:c r="N43" s="35" t="n">
        <x:f>H43-F43</x:f>
        <x:v>-3</x:v>
      </x:c>
      <x:c r="O43" s="35" t="n">
        <x:f>I43-G43</x:f>
        <x:v>-3</x:v>
      </x:c>
      <x:c r="P43" s="35" t="n">
        <x:f>SQRT(N43^2+O43^2)</x:f>
        <x:v>4.242640687119285</x:v>
      </x:c>
      <x:c r="Q43" s="35" t="n">
        <x:f>IFERROR(ABS(DEGREES(ATAN(O43/N43))),IF(O43=0,0,90))</x:f>
        <x:v>45</x:v>
      </x:c>
      <x:c r="R43" s="34" t="str">
        <x:v>H linked</x:v>
      </x:c>
      <x:c r="S43" s="34" t="str">
        <x:v>45 degrees</x:v>
      </x:c>
      <x:c r="T43" s="34" t="str">
        <x:v>Bottom-left tab lower 45°</x:v>
      </x:c>
    </x:row>
    <x:row r="44">
      <x:c r="A44" s="34" t="str">
        <x:v>E2</x:v>
      </x:c>
      <x:c r="B44" s="34" t="str">
        <x:v>CUT</x:v>
      </x:c>
      <x:c r="C44" s="34" t="str">
        <x:v>CUT_24_object</x:v>
      </x:c>
      <x:c r="D44" s="34" t="str">
        <x:v>P037</x:v>
      </x:c>
      <x:c r="E44" s="34" t="str">
        <x:v>P036</x:v>
      </x:c>
      <x:c r="F44" s="35" t="n">
        <x:f>XLOOKUP(D44,Dynamic_Points!$A:$A,Dynamic_Points!$E:$E)</x:f>
        <x:v>62.849999999999994</x:v>
      </x:c>
      <x:c r="G44" s="35" t="n">
        <x:f>XLOOKUP(D44,Dynamic_Points!$A:$A,Dynamic_Points!$G:$G)</x:f>
        <x:v>497.35</x:v>
      </x:c>
      <x:c r="H44" s="35" t="n">
        <x:f>XLOOKUP(E44,Dynamic_Points!$A:$A,Dynamic_Points!$E:$E)</x:f>
        <x:v>15.849999999999994</x:v>
      </x:c>
      <x:c r="I44" s="35" t="n">
        <x:f>XLOOKUP(E44,Dynamic_Points!$A:$A,Dynamic_Points!$G:$G)</x:f>
        <x:v>497.35</x:v>
      </x:c>
      <x:c r="J44" s="35" t="n">
        <x:v>62.85</x:v>
      </x:c>
      <x:c r="K44" s="35" t="n">
        <x:v>497.35</x:v>
      </x:c>
      <x:c r="L44" s="35" t="n">
        <x:v>15.85</x:v>
      </x:c>
      <x:c r="M44" s="35" t="n">
        <x:v>497.35</x:v>
      </x:c>
      <x:c r="N44" s="35" t="n">
        <x:f>H44-F44</x:f>
        <x:v>-47</x:v>
      </x:c>
      <x:c r="O44" s="35" t="n">
        <x:f>I44-G44</x:f>
        <x:v>0</x:v>
      </x:c>
      <x:c r="P44" s="35" t="n">
        <x:f>SQRT(N44^2+O44^2)</x:f>
        <x:v>47</x:v>
      </x:c>
      <x:c r="Q44" s="35" t="n">
        <x:f>IFERROR(ABS(DEGREES(ATAN(O44/N44))),IF(O44=0,0,90))</x:f>
        <x:v>0</x:v>
      </x:c>
      <x:c r="R44" s="34" t="str">
        <x:v>H / E_AREA_WIDTH mirror of C4</x:v>
      </x:c>
      <x:c r="S44" s="34" t="str">
        <x:v>Horizontal length = E_AREA_Width = H - 3</x:v>
      </x:c>
      <x:c r="T44" s="34" t="str">
        <x:v>E2 mirrors C4; resize according to same C AREA rule in E direction.</x:v>
      </x:c>
    </x:row>
    <x:row r="45">
      <x:c r="A45" s="34" t="str">
        <x:v>E3</x:v>
      </x:c>
      <x:c r="B45" s="34" t="str">
        <x:v>CUT</x:v>
      </x:c>
      <x:c r="C45" s="34" t="str">
        <x:v>CUT_25_object</x:v>
      </x:c>
      <x:c r="D45" s="34" t="str">
        <x:v>P036</x:v>
      </x:c>
      <x:c r="E45" s="34" t="str">
        <x:v>P035</x:v>
      </x:c>
      <x:c r="F45" s="35" t="n">
        <x:f>XLOOKUP(D45,Dynamic_Points!$A:$A,Dynamic_Points!$E:$E)</x:f>
        <x:v>15.849999999999994</x:v>
      </x:c>
      <x:c r="G45" s="35" t="n">
        <x:f>XLOOKUP(D45,Dynamic_Points!$A:$A,Dynamic_Points!$G:$G)</x:f>
        <x:v>497.35</x:v>
      </x:c>
      <x:c r="H45" s="35" t="n">
        <x:f>XLOOKUP(E45,Dynamic_Points!$A:$A,Dynamic_Points!$E:$E)</x:f>
        <x:v>15.849999999999994</x:v>
      </x:c>
      <x:c r="I45" s="35" t="n">
        <x:f>XLOOKUP(E45,Dynamic_Points!$A:$A,Dynamic_Points!$G:$G)</x:f>
        <x:v>463.35</x:v>
      </x:c>
      <x:c r="J45" s="35" t="n">
        <x:v>15.85</x:v>
      </x:c>
      <x:c r="K45" s="35" t="n">
        <x:v>497.35</x:v>
      </x:c>
      <x:c r="L45" s="35" t="n">
        <x:v>15.85</x:v>
      </x:c>
      <x:c r="M45" s="35" t="n">
        <x:v>463.35</x:v>
      </x:c>
      <x:c r="N45" s="35" t="n">
        <x:f>H45-F45</x:f>
        <x:v>0</x:v>
      </x:c>
      <x:c r="O45" s="35" t="n">
        <x:f>I45-G45</x:f>
        <x:v>-34</x:v>
      </x:c>
      <x:c r="P45" s="35" t="n">
        <x:f>SQRT(N45^2+O45^2)</x:f>
        <x:v>34</x:v>
      </x:c>
      <x:c r="Q45" s="35" t="n">
        <x:f>IFERROR(ABS(DEGREES(ATAN(O45/N45))),IF(O45=0,0,90))</x:f>
        <x:v>90</x:v>
      </x:c>
      <x:c r="R45" s="34" t="str">
        <x:v>H</x:v>
      </x:c>
      <x:c r="S45" s="34" t="str">
        <x:v>Vertical length = H - 16mm</x:v>
      </x:c>
      <x:c r="T45" s="34" t="str">
        <x:v>Bottom-left tab vertical stretches with H</x:v>
      </x:c>
    </x:row>
    <x:row r="46">
      <x:c r="A46" s="34" t="str">
        <x:v>E4</x:v>
      </x:c>
      <x:c r="B46" s="34" t="str">
        <x:v>CUT</x:v>
      </x:c>
      <x:c r="C46" s="34" t="str">
        <x:v>CUT_22_object</x:v>
      </x:c>
      <x:c r="D46" s="34" t="str">
        <x:v>P034</x:v>
      </x:c>
      <x:c r="E46" s="34" t="str">
        <x:v>P035</x:v>
      </x:c>
      <x:c r="F46" s="35" t="n">
        <x:f>XLOOKUP(D46,Dynamic_Points!$A:$A,Dynamic_Points!$E:$E)</x:f>
        <x:v>62.849999999999994</x:v>
      </x:c>
      <x:c r="G46" s="35" t="n">
        <x:f>XLOOKUP(D46,Dynamic_Points!$A:$A,Dynamic_Points!$G:$G)</x:f>
        <x:v>453.35</x:v>
      </x:c>
      <x:c r="H46" s="35" t="n">
        <x:f>XLOOKUP(E46,Dynamic_Points!$A:$A,Dynamic_Points!$E:$E)</x:f>
        <x:v>15.849999999999994</x:v>
      </x:c>
      <x:c r="I46" s="35" t="n">
        <x:f>XLOOKUP(E46,Dynamic_Points!$A:$A,Dynamic_Points!$G:$G)</x:f>
        <x:v>463.35</x:v>
      </x:c>
      <x:c r="J46" s="35" t="n">
        <x:v>62.85</x:v>
      </x:c>
      <x:c r="K46" s="35" t="n">
        <x:v>453.35</x:v>
      </x:c>
      <x:c r="L46" s="35" t="n">
        <x:v>15.85</x:v>
      </x:c>
      <x:c r="M46" s="35" t="n">
        <x:v>463.35</x:v>
      </x:c>
      <x:c r="N46" s="35" t="n">
        <x:f>H46-F46</x:f>
        <x:v>-47</x:v>
      </x:c>
      <x:c r="O46" s="35" t="n">
        <x:f>I46-G46</x:f>
        <x:v>10</x:v>
      </x:c>
      <x:c r="P46" s="35" t="n">
        <x:f>SQRT(N46^2+O46^2)</x:f>
        <x:v>48.05205510693585</x:v>
      </x:c>
      <x:c r="Q46" s="35" t="n">
        <x:f>IFERROR(ABS(DEGREES(ATAN(O46/N46))),IF(O46=0,0,90))</x:f>
        <x:v>12.011478386365443</x:v>
      </x:c>
      <x:c r="R46" s="34" t="str">
        <x:v>H / E_AREA_WIDTH mirror of C2</x:v>
      </x:c>
      <x:c r="S46" s="34" t="str">
        <x:v>12°; horizontal = H - 3; vertical = (H - 3)*TAN(12°)</x:v>
      </x:c>
      <x:c r="T46" s="34" t="str">
        <x:v>E4 mirrors C2; preserve 12° while resizing in E direction.</x:v>
      </x:c>
    </x:row>
    <x:row r="47">
      <x:c r="A47" s="34" t="str">
        <x:v>E5</x:v>
      </x:c>
      <x:c r="B47" s="34" t="str">
        <x:v>CUT</x:v>
      </x:c>
      <x:c r="C47" s="34" t="str">
        <x:v>CUT_23_object</x:v>
      </x:c>
      <x:c r="D47" s="34" t="str">
        <x:v>P006</x:v>
      </x:c>
      <x:c r="E47" s="34" t="str">
        <x:v>P034</x:v>
      </x:c>
      <x:c r="F47" s="35" t="n">
        <x:f>XLOOKUP(D47,Dynamic_Points!$A:$A,Dynamic_Points!$E:$E)</x:f>
        <x:v>65.85</x:v>
      </x:c>
      <x:c r="G47" s="35" t="n">
        <x:f>XLOOKUP(D47,Dynamic_Points!$A:$A,Dynamic_Points!$G:$G)</x:f>
        <x:v>450.35</x:v>
      </x:c>
      <x:c r="H47" s="35" t="n">
        <x:f>XLOOKUP(E47,Dynamic_Points!$A:$A,Dynamic_Points!$E:$E)</x:f>
        <x:v>62.849999999999994</x:v>
      </x:c>
      <x:c r="I47" s="35" t="n">
        <x:f>XLOOKUP(E47,Dynamic_Points!$A:$A,Dynamic_Points!$G:$G)</x:f>
        <x:v>453.35</x:v>
      </x:c>
      <x:c r="J47" s="35" t="n">
        <x:v>65.85</x:v>
      </x:c>
      <x:c r="K47" s="35" t="n">
        <x:v>450.35</x:v>
      </x:c>
      <x:c r="L47" s="35" t="n">
        <x:v>62.85</x:v>
      </x:c>
      <x:c r="M47" s="35" t="n">
        <x:v>453.35</x:v>
      </x:c>
      <x:c r="N47" s="35" t="n">
        <x:f>H47-F47</x:f>
        <x:v>-3</x:v>
      </x:c>
      <x:c r="O47" s="35" t="n">
        <x:f>I47-G47</x:f>
        <x:v>3</x:v>
      </x:c>
      <x:c r="P47" s="35" t="n">
        <x:f>SQRT(N47^2+O47^2)</x:f>
        <x:v>4.242640687119285</x:v>
      </x:c>
      <x:c r="Q47" s="35" t="n">
        <x:f>IFERROR(ABS(DEGREES(ATAN(O47/N47))),IF(O47=0,0,90))</x:f>
        <x:v>45</x:v>
      </x:c>
      <x:c r="R47" s="34" t="str">
        <x:v>H linked</x:v>
      </x:c>
      <x:c r="S47" s="34" t="str">
        <x:v>45 degrees</x:v>
      </x:c>
      <x:c r="T47" s="34" t="str">
        <x:v>Bottom-left tab upper 45°</x:v>
      </x:c>
    </x:row>
    <x:row r="48">
      <x:c r="A48" s="34" t="str">
        <x:v>M1</x:v>
      </x:c>
      <x:c r="B48" s="34" t="str">
        <x:v>CUT</x:v>
      </x:c>
      <x:c r="C48" s="34" t="str">
        <x:v>M1 / CUT_1_object</x:v>
      </x:c>
      <x:c r="D48" s="34" t="str">
        <x:v>P007</x:v>
      </x:c>
      <x:c r="E48" s="34" t="str">
        <x:v>P008</x:v>
      </x:c>
      <x:c r="F48" s="35" t="n">
        <x:f>XLOOKUP(D48,Dynamic_Points!$A:$A,Dynamic_Points!$E:$E)</x:f>
        <x:v>315.85</x:v>
      </x:c>
      <x:c r="G48" s="35" t="n">
        <x:f>XLOOKUP(D48,Dynamic_Points!$A:$A,Dynamic_Points!$G:$G)</x:f>
        <x:v>500.35</x:v>
      </x:c>
      <x:c r="H48" s="35" t="n">
        <x:f>XLOOKUP(E48,Dynamic_Points!$A:$A,Dynamic_Points!$E:$E)</x:f>
        <x:v>65.85</x:v>
      </x:c>
      <x:c r="I48" s="35" t="n">
        <x:f>XLOOKUP(E48,Dynamic_Points!$A:$A,Dynamic_Points!$G:$G)</x:f>
        <x:v>500.35</x:v>
      </x:c>
      <x:c r="J48" s="35" t="n">
        <x:v>315.85</x:v>
      </x:c>
      <x:c r="K48" s="35" t="n">
        <x:v>500.35</x:v>
      </x:c>
      <x:c r="L48" s="35" t="n">
        <x:v>65.85</x:v>
      </x:c>
      <x:c r="M48" s="35" t="n">
        <x:v>500.35</x:v>
      </x:c>
      <x:c r="N48" s="35" t="n">
        <x:f>H48-F48</x:f>
        <x:v>-250.00000000000003</x:v>
      </x:c>
      <x:c r="O48" s="35" t="n">
        <x:f>I48-G48</x:f>
        <x:v>0</x:v>
      </x:c>
      <x:c r="P48" s="35" t="n">
        <x:f>SQRT(N48^2+O48^2)</x:f>
        <x:v>250.00000000000003</x:v>
      </x:c>
      <x:c r="Q48" s="35" t="n">
        <x:f>IFERROR(ABS(DEGREES(ATAN(O48/N48))),IF(O48=0,0,90))</x:f>
        <x:v>0</x:v>
      </x:c>
      <x:c r="R48" s="34" t="str">
        <x:v>L</x:v>
      </x:c>
      <x:c r="S48" s="34" t="str">
        <x:v>Horizontal length = L</x:v>
      </x:c>
      <x:c r="T48" s="34" t="str">
        <x:v>Bottom main cut line stretches with L</x:v>
      </x:c>
    </x:row>
    <x:row r="49">
      <x:c r="A49" s="34" t="str">
        <x:v>CREASE1</x:v>
      </x:c>
      <x:c r="B49" s="34" t="str">
        <x:v>CREASE</x:v>
      </x:c>
      <x:c r="C49" s="34" t="str">
        <x:v>CREASE_1_object</x:v>
      </x:c>
      <x:c r="D49" s="34" t="str">
        <x:v>P001</x:v>
      </x:c>
      <x:c r="E49" s="34" t="str">
        <x:v>P002</x:v>
      </x:c>
      <x:c r="F49" s="35" t="n">
        <x:f>XLOOKUP(D49,Dynamic_Points!$A:$A,Dynamic_Points!$E:$E)</x:f>
        <x:v>315.85</x:v>
      </x:c>
      <x:c r="G49" s="35" t="n">
        <x:f>XLOOKUP(D49,Dynamic_Points!$A:$A,Dynamic_Points!$G:$G)</x:f>
        <x:v>260.35</x:v>
      </x:c>
      <x:c r="H49" s="35" t="n">
        <x:f>XLOOKUP(E49,Dynamic_Points!$A:$A,Dynamic_Points!$E:$E)</x:f>
        <x:v>65.85</x:v>
      </x:c>
      <x:c r="I49" s="35" t="n">
        <x:f>XLOOKUP(E49,Dynamic_Points!$A:$A,Dynamic_Points!$G:$G)</x:f>
        <x:v>260.35</x:v>
      </x:c>
      <x:c r="J49" s="35" t="n">
        <x:v>315.85</x:v>
      </x:c>
      <x:c r="K49" s="35" t="n">
        <x:v>260.35</x:v>
      </x:c>
      <x:c r="L49" s="35" t="n">
        <x:v>65.85</x:v>
      </x:c>
      <x:c r="M49" s="35" t="n">
        <x:v>260.35</x:v>
      </x:c>
      <x:c r="N49" s="35" t="n">
        <x:f>H49-F49</x:f>
        <x:v>-250.00000000000003</x:v>
      </x:c>
      <x:c r="O49" s="35" t="n">
        <x:f>I49-G49</x:f>
        <x:v>0</x:v>
      </x:c>
      <x:c r="P49" s="35" t="n">
        <x:f>SQRT(N49^2+O49^2)</x:f>
        <x:v>250.00000000000003</x:v>
      </x:c>
      <x:c r="Q49" s="35" t="n">
        <x:f>IFERROR(ABS(DEGREES(ATAN(O49/N49))),IF(O49=0,0,90))</x:f>
        <x:v>0</x:v>
      </x:c>
      <x:c r="R49" s="34" t="str">
        <x:v>L</x:v>
      </x:c>
      <x:c r="S49" s="34" t="str">
        <x:v>Horizontal length = L</x:v>
      </x:c>
      <x:c r="T49" s="34" t="str">
        <x:v>Main horizontal crease</x:v>
      </x:c>
    </x:row>
    <x:row r="50">
      <x:c r="A50" s="34" t="str">
        <x:v>CREASE2</x:v>
      </x:c>
      <x:c r="B50" s="34" t="str">
        <x:v>CREASE</x:v>
      </x:c>
      <x:c r="C50" s="34" t="str">
        <x:v>CREASE_2_object</x:v>
      </x:c>
      <x:c r="D50" s="34" t="str">
        <x:v>P006</x:v>
      </x:c>
      <x:c r="E50" s="34" t="str">
        <x:v>P005</x:v>
      </x:c>
      <x:c r="F50" s="35" t="n">
        <x:f>XLOOKUP(D50,Dynamic_Points!$A:$A,Dynamic_Points!$E:$E)</x:f>
        <x:v>65.85</x:v>
      </x:c>
      <x:c r="G50" s="35" t="n">
        <x:f>XLOOKUP(D50,Dynamic_Points!$A:$A,Dynamic_Points!$G:$G)</x:f>
        <x:v>450.35</x:v>
      </x:c>
      <x:c r="H50" s="35" t="n">
        <x:f>XLOOKUP(E50,Dynamic_Points!$A:$A,Dynamic_Points!$E:$E)</x:f>
        <x:v>315.85</x:v>
      </x:c>
      <x:c r="I50" s="35" t="n">
        <x:f>XLOOKUP(E50,Dynamic_Points!$A:$A,Dynamic_Points!$G:$G)</x:f>
        <x:v>450.35</x:v>
      </x:c>
      <x:c r="J50" s="35" t="n">
        <x:v>65.85</x:v>
      </x:c>
      <x:c r="K50" s="35" t="n">
        <x:v>450.35</x:v>
      </x:c>
      <x:c r="L50" s="35" t="n">
        <x:v>315.85</x:v>
      </x:c>
      <x:c r="M50" s="35" t="n">
        <x:v>450.35</x:v>
      </x:c>
      <x:c r="N50" s="35" t="n">
        <x:f>H50-F50</x:f>
        <x:v>250.00000000000003</x:v>
      </x:c>
      <x:c r="O50" s="35" t="n">
        <x:f>I50-G50</x:f>
        <x:v>0</x:v>
      </x:c>
      <x:c r="P50" s="35" t="n">
        <x:f>SQRT(N50^2+O50^2)</x:f>
        <x:v>250.00000000000003</x:v>
      </x:c>
      <x:c r="Q50" s="35" t="n">
        <x:f>IFERROR(ABS(DEGREES(ATAN(O50/N50))),IF(O50=0,0,90))</x:f>
        <x:v>0</x:v>
      </x:c>
      <x:c r="R50" s="34" t="str">
        <x:v>L</x:v>
      </x:c>
      <x:c r="S50" s="34" t="str">
        <x:v>Horizontal length = L</x:v>
      </x:c>
      <x:c r="T50" s="34" t="str">
        <x:v>Main horizontal crease</x:v>
      </x:c>
    </x:row>
    <x:row r="51">
      <x:c r="A51" s="34" t="str">
        <x:v>CREASE3</x:v>
      </x:c>
      <x:c r="B51" s="34" t="str">
        <x:v>CREASE</x:v>
      </x:c>
      <x:c r="C51" s="34" t="str">
        <x:v>CREASE_3_object</x:v>
      </x:c>
      <x:c r="D51" s="34" t="str">
        <x:v>P004</x:v>
      </x:c>
      <x:c r="E51" s="34" t="str">
        <x:v>P003</x:v>
      </x:c>
      <x:c r="F51" s="35" t="n">
        <x:f>XLOOKUP(D51,Dynamic_Points!$A:$A,Dynamic_Points!$E:$E)</x:f>
        <x:v>65.85</x:v>
      </x:c>
      <x:c r="G51" s="35" t="n">
        <x:f>XLOOKUP(D51,Dynamic_Points!$A:$A,Dynamic_Points!$G:$G)</x:f>
        <x:v>210.35</x:v>
      </x:c>
      <x:c r="H51" s="35" t="n">
        <x:f>XLOOKUP(E51,Dynamic_Points!$A:$A,Dynamic_Points!$E:$E)</x:f>
        <x:v>315.85</x:v>
      </x:c>
      <x:c r="I51" s="35" t="n">
        <x:f>XLOOKUP(E51,Dynamic_Points!$A:$A,Dynamic_Points!$G:$G)</x:f>
        <x:v>210.35</x:v>
      </x:c>
      <x:c r="J51" s="35" t="n">
        <x:v>65.85</x:v>
      </x:c>
      <x:c r="K51" s="35" t="n">
        <x:v>210.35</x:v>
      </x:c>
      <x:c r="L51" s="35" t="n">
        <x:v>315.85</x:v>
      </x:c>
      <x:c r="M51" s="35" t="n">
        <x:v>210.35</x:v>
      </x:c>
      <x:c r="N51" s="35" t="n">
        <x:f>H51-F51</x:f>
        <x:v>250.00000000000003</x:v>
      </x:c>
      <x:c r="O51" s="35" t="n">
        <x:f>I51-G51</x:f>
        <x:v>0</x:v>
      </x:c>
      <x:c r="P51" s="35" t="n">
        <x:f>SQRT(N51^2+O51^2)</x:f>
        <x:v>250.00000000000003</x:v>
      </x:c>
      <x:c r="Q51" s="35" t="n">
        <x:f>IFERROR(ABS(DEGREES(ATAN(O51/N51))),IF(O51=0,0,90))</x:f>
        <x:v>0</x:v>
      </x:c>
      <x:c r="R51" s="34" t="str">
        <x:v>L</x:v>
      </x:c>
      <x:c r="S51" s="34" t="str">
        <x:v>Horizontal length = L</x:v>
      </x:c>
      <x:c r="T51" s="34" t="str">
        <x:v>Main horizontal crease</x:v>
      </x:c>
    </x:row>
    <x:row r="52">
      <x:c r="A52" s="34" t="str">
        <x:v>CREASE4</x:v>
      </x:c>
      <x:c r="B52" s="34" t="str">
        <x:v>CREASE</x:v>
      </x:c>
      <x:c r="C52" s="34" t="str">
        <x:v>CREASE_4_object</x:v>
      </x:c>
      <x:c r="D52" s="34" t="str">
        <x:v>P013</x:v>
      </x:c>
      <x:c r="E52" s="34" t="str">
        <x:v>P014</x:v>
      </x:c>
      <x:c r="F52" s="35" t="n">
        <x:f>XLOOKUP(D52,Dynamic_Points!$A:$A,Dynamic_Points!$E:$E)</x:f>
        <x:v>74.85</x:v>
      </x:c>
      <x:c r="G52" s="35" t="n">
        <x:f>XLOOKUP(D52,Dynamic_Points!$A:$A,Dynamic_Points!$G:$G)</x:f>
        <x:v>21.35</x:v>
      </x:c>
      <x:c r="H52" s="35" t="n">
        <x:f>XLOOKUP(E52,Dynamic_Points!$A:$A,Dynamic_Points!$E:$E)</x:f>
        <x:v>306.85</x:v>
      </x:c>
      <x:c r="I52" s="35" t="n">
        <x:f>XLOOKUP(E52,Dynamic_Points!$A:$A,Dynamic_Points!$G:$G)</x:f>
        <x:v>21.35</x:v>
      </x:c>
      <x:c r="J52" s="35" t="n">
        <x:v>74.85</x:v>
      </x:c>
      <x:c r="K52" s="35" t="n">
        <x:v>21.35</x:v>
      </x:c>
      <x:c r="L52" s="35" t="n">
        <x:v>306.85</x:v>
      </x:c>
      <x:c r="M52" s="35" t="n">
        <x:v>21.35</x:v>
      </x:c>
      <x:c r="N52" s="35" t="n">
        <x:f>H52-F52</x:f>
        <x:v>232.00000000000003</x:v>
      </x:c>
      <x:c r="O52" s="35" t="n">
        <x:f>I52-G52</x:f>
        <x:v>0</x:v>
      </x:c>
      <x:c r="P52" s="35" t="n">
        <x:f>SQRT(N52^2+O52^2)</x:f>
        <x:v>232.00000000000003</x:v>
      </x:c>
      <x:c r="Q52" s="35" t="n">
        <x:f>IFERROR(ABS(DEGREES(ATAN(O52/N52))),IF(O52=0,0,90))</x:f>
        <x:v>0</x:v>
      </x:c>
      <x:c r="R52" s="34" t="str">
        <x:v>L</x:v>
      </x:c>
      <x:c r="S52" s="34" t="str">
        <x:v>Horizontal length = L - 18mm</x:v>
      </x:c>
      <x:c r="T52" s="34" t="str">
        <x:v>Top cover/lid crease</x:v>
      </x:c>
    </x:row>
    <x:row r="53">
      <x:c r="A53" s="34" t="str">
        <x:v>CREASE5</x:v>
      </x:c>
      <x:c r="B53" s="34" t="str">
        <x:v>CREASE</x:v>
      </x:c>
      <x:c r="C53" s="34" t="str">
        <x:v>CREASE_5_object</x:v>
      </x:c>
      <x:c r="D53" s="34" t="str">
        <x:v>P038</x:v>
      </x:c>
      <x:c r="E53" s="34" t="str">
        <x:v>P052</x:v>
      </x:c>
      <x:c r="F53" s="35" t="n">
        <x:f>XLOOKUP(D53,Dynamic_Points!$A:$A,Dynamic_Points!$E:$E)</x:f>
        <x:v>316.85</x:v>
      </x:c>
      <x:c r="G53" s="35" t="n">
        <x:f>XLOOKUP(D53,Dynamic_Points!$A:$A,Dynamic_Points!$G:$G)</x:f>
        <x:v>261.35</x:v>
      </x:c>
      <x:c r="H53" s="35" t="n">
        <x:f>XLOOKUP(E53,Dynamic_Points!$A:$A,Dynamic_Points!$E:$E)</x:f>
        <x:v>381.35</x:v>
      </x:c>
      <x:c r="I53" s="35" t="n">
        <x:f>XLOOKUP(E53,Dynamic_Points!$A:$A,Dynamic_Points!$G:$G)</x:f>
        <x:v>325.85</x:v>
      </x:c>
      <x:c r="J53" s="35" t="n">
        <x:v>316.85</x:v>
      </x:c>
      <x:c r="K53" s="35" t="n">
        <x:v>261.35</x:v>
      </x:c>
      <x:c r="L53" s="35" t="n">
        <x:v>381.35</x:v>
      </x:c>
      <x:c r="M53" s="35" t="n">
        <x:v>325.85</x:v>
      </x:c>
      <x:c r="N53" s="35" t="n">
        <x:f>H53-F53</x:f>
        <x:v>64.5</x:v>
      </x:c>
      <x:c r="O53" s="35" t="n">
        <x:f>I53-G53</x:f>
        <x:v>64.5</x:v>
      </x:c>
      <x:c r="P53" s="35" t="n">
        <x:f>SQRT(N53^2+O53^2)</x:f>
        <x:v>91.21677477306463</x:v>
      </x:c>
      <x:c r="Q53" s="35" t="n">
        <x:f>IFERROR(ABS(DEGREES(ATAN(O53/N53))),IF(O53=0,0,90))</x:f>
        <x:v>45</x:v>
      </x:c>
      <x:c r="R53" s="34" t="str">
        <x:v>Fixed-angle linked</x:v>
      </x:c>
      <x:c r="S53" s="34" t="str">
        <x:v>45 degrees</x:v>
      </x:c>
      <x:c r="T53" s="34" t="str">
        <x:v>Right upper diagonal crease</x:v>
      </x:c>
    </x:row>
    <x:row r="54">
      <x:c r="A54" s="34" t="str">
        <x:v>CREASE6</x:v>
      </x:c>
      <x:c r="B54" s="34" t="str">
        <x:v>CREASE</x:v>
      </x:c>
      <x:c r="C54" s="34" t="str">
        <x:v>CREASE_6_object</x:v>
      </x:c>
      <x:c r="D54" s="34" t="str">
        <x:v>P039</x:v>
      </x:c>
      <x:c r="E54" s="34" t="str">
        <x:v>P041</x:v>
      </x:c>
      <x:c r="F54" s="35" t="n">
        <x:f>XLOOKUP(D54,Dynamic_Points!$A:$A,Dynamic_Points!$E:$E)</x:f>
        <x:v>365.85</x:v>
      </x:c>
      <x:c r="G54" s="35" t="n">
        <x:f>XLOOKUP(D54,Dynamic_Points!$A:$A,Dynamic_Points!$G:$G)</x:f>
        <x:v>261.35</x:v>
      </x:c>
      <x:c r="H54" s="35" t="n">
        <x:f>XLOOKUP(E54,Dynamic_Points!$A:$A,Dynamic_Points!$E:$E)</x:f>
        <x:v>365.85</x:v>
      </x:c>
      <x:c r="I54" s="35" t="n">
        <x:f>XLOOKUP(E54,Dynamic_Points!$A:$A,Dynamic_Points!$G:$G)</x:f>
        <x:v>449.35</x:v>
      </x:c>
      <x:c r="J54" s="35" t="n">
        <x:v>365.85</x:v>
      </x:c>
      <x:c r="K54" s="35" t="n">
        <x:v>261.35</x:v>
      </x:c>
      <x:c r="L54" s="35" t="n">
        <x:v>365.85</x:v>
      </x:c>
      <x:c r="M54" s="35" t="n">
        <x:v>449.35</x:v>
      </x:c>
      <x:c r="N54" s="35" t="n">
        <x:f>H54-F54</x:f>
        <x:v>0</x:v>
      </x:c>
      <x:c r="O54" s="35" t="n">
        <x:f>I54-G54</x:f>
        <x:v>188</x:v>
      </x:c>
      <x:c r="P54" s="35" t="n">
        <x:f>SQRT(N54^2+O54^2)</x:f>
        <x:v>188</x:v>
      </x:c>
      <x:c r="Q54" s="35" t="n">
        <x:f>IFERROR(ABS(DEGREES(ATAN(O54/N54))),IF(O54=0,0,90))</x:f>
        <x:v>90</x:v>
      </x:c>
      <x:c r="R54" s="34" t="str">
        <x:v>W</x:v>
      </x:c>
      <x:c r="S54" s="34" t="str">
        <x:v>Vertical length = W - 2mm</x:v>
      </x:c>
      <x:c r="T54" s="34" t="str">
        <x:v>Right vertical crease</x:v>
      </x:c>
    </x:row>
    <x:row r="55">
      <x:c r="A55" s="34" t="str">
        <x:v>CREASE7</x:v>
      </x:c>
      <x:c r="B55" s="34" t="str">
        <x:v>CREASE</x:v>
      </x:c>
      <x:c r="C55" s="34" t="str">
        <x:v>CREASE_7_object</x:v>
      </x:c>
      <x:c r="D55" s="34" t="str">
        <x:v>P040</x:v>
      </x:c>
      <x:c r="E55" s="34" t="str">
        <x:v>P053</x:v>
      </x:c>
      <x:c r="F55" s="35" t="n">
        <x:f>XLOOKUP(D55,Dynamic_Points!$A:$A,Dynamic_Points!$E:$E)</x:f>
        <x:v>316.85</x:v>
      </x:c>
      <x:c r="G55" s="35" t="n">
        <x:f>XLOOKUP(D55,Dynamic_Points!$A:$A,Dynamic_Points!$G:$G)</x:f>
        <x:v>449.35</x:v>
      </x:c>
      <x:c r="H55" s="35" t="n">
        <x:f>XLOOKUP(E55,Dynamic_Points!$A:$A,Dynamic_Points!$E:$E)</x:f>
        <x:v>381.35</x:v>
      </x:c>
      <x:c r="I55" s="35" t="n">
        <x:f>XLOOKUP(E55,Dynamic_Points!$A:$A,Dynamic_Points!$G:$G)</x:f>
        <x:v>384.85</x:v>
      </x:c>
      <x:c r="J55" s="35" t="n">
        <x:v>316.85</x:v>
      </x:c>
      <x:c r="K55" s="35" t="n">
        <x:v>449.35</x:v>
      </x:c>
      <x:c r="L55" s="35" t="n">
        <x:v>381.35</x:v>
      </x:c>
      <x:c r="M55" s="35" t="n">
        <x:v>384.85</x:v>
      </x:c>
      <x:c r="N55" s="35" t="n">
        <x:f>H55-F55</x:f>
        <x:v>64.5</x:v>
      </x:c>
      <x:c r="O55" s="35" t="n">
        <x:f>I55-G55</x:f>
        <x:v>-64.5</x:v>
      </x:c>
      <x:c r="P55" s="35" t="n">
        <x:f>SQRT(N55^2+O55^2)</x:f>
        <x:v>91.21677477306463</x:v>
      </x:c>
      <x:c r="Q55" s="35" t="n">
        <x:f>IFERROR(ABS(DEGREES(ATAN(O55/N55))),IF(O55=0,0,90))</x:f>
        <x:v>45</x:v>
      </x:c>
      <x:c r="R55" s="34" t="str">
        <x:v>Fixed-angle linked</x:v>
      </x:c>
      <x:c r="S55" s="34" t="str">
        <x:v>45 degrees</x:v>
      </x:c>
      <x:c r="T55" s="34" t="str">
        <x:v>Right lower diagonal crease</x:v>
      </x:c>
    </x:row>
    <x:row r="56">
      <x:c r="A56" s="34" t="str">
        <x:v>CREASE8</x:v>
      </x:c>
      <x:c r="B56" s="34" t="str">
        <x:v>CREASE</x:v>
      </x:c>
      <x:c r="C56" s="34" t="str">
        <x:v>CREASE_8_object</x:v>
      </x:c>
      <x:c r="D56" s="34" t="str">
        <x:v>P045</x:v>
      </x:c>
      <x:c r="E56" s="34" t="str">
        <x:v>P054</x:v>
      </x:c>
      <x:c r="F56" s="35" t="n">
        <x:f>XLOOKUP(D56,Dynamic_Points!$A:$A,Dynamic_Points!$E:$E)</x:f>
        <x:v>64.85</x:v>
      </x:c>
      <x:c r="G56" s="35" t="n">
        <x:f>XLOOKUP(D56,Dynamic_Points!$A:$A,Dynamic_Points!$G:$G)</x:f>
        <x:v>261.35</x:v>
      </x:c>
      <x:c r="H56" s="35" t="n">
        <x:f>XLOOKUP(E56,Dynamic_Points!$A:$A,Dynamic_Points!$E:$E)</x:f>
        <x:v>0.3499999999999943</x:v>
      </x:c>
      <x:c r="I56" s="35" t="n">
        <x:f>XLOOKUP(E56,Dynamic_Points!$A:$A,Dynamic_Points!$G:$G)</x:f>
        <x:v>325.85</x:v>
      </x:c>
      <x:c r="J56" s="35" t="n">
        <x:v>64.85</x:v>
      </x:c>
      <x:c r="K56" s="35" t="n">
        <x:v>261.35</x:v>
      </x:c>
      <x:c r="L56" s="35" t="n">
        <x:v>0.35</x:v>
      </x:c>
      <x:c r="M56" s="35" t="n">
        <x:v>325.85</x:v>
      </x:c>
      <x:c r="N56" s="35" t="n">
        <x:f>H56-F56</x:f>
        <x:v>-64.5</x:v>
      </x:c>
      <x:c r="O56" s="35" t="n">
        <x:f>I56-G56</x:f>
        <x:v>64.5</x:v>
      </x:c>
      <x:c r="P56" s="35" t="n">
        <x:f>SQRT(N56^2+O56^2)</x:f>
        <x:v>91.21677477306463</x:v>
      </x:c>
      <x:c r="Q56" s="35" t="n">
        <x:f>IFERROR(ABS(DEGREES(ATAN(O56/N56))),IF(O56=0,0,90))</x:f>
        <x:v>45</x:v>
      </x:c>
      <x:c r="R56" s="34" t="str">
        <x:v>Fixed-angle linked</x:v>
      </x:c>
      <x:c r="S56" s="34" t="str">
        <x:v>45 degrees</x:v>
      </x:c>
      <x:c r="T56" s="34" t="str">
        <x:v>Left upper diagonal crease</x:v>
      </x:c>
    </x:row>
    <x:row r="57">
      <x:c r="A57" s="34" t="str">
        <x:v>CREASE9</x:v>
      </x:c>
      <x:c r="B57" s="34" t="str">
        <x:v>CREASE</x:v>
      </x:c>
      <x:c r="C57" s="34" t="str">
        <x:v>CREASE_9_object</x:v>
      </x:c>
      <x:c r="D57" s="34" t="str">
        <x:v>P046</x:v>
      </x:c>
      <x:c r="E57" s="34" t="str">
        <x:v>P048</x:v>
      </x:c>
      <x:c r="F57" s="35" t="n">
        <x:f>XLOOKUP(D57,Dynamic_Points!$A:$A,Dynamic_Points!$E:$E)</x:f>
        <x:v>15.849999999999994</x:v>
      </x:c>
      <x:c r="G57" s="35" t="n">
        <x:f>XLOOKUP(D57,Dynamic_Points!$A:$A,Dynamic_Points!$G:$G)</x:f>
        <x:v>261.35</x:v>
      </x:c>
      <x:c r="H57" s="35" t="n">
        <x:f>XLOOKUP(E57,Dynamic_Points!$A:$A,Dynamic_Points!$E:$E)</x:f>
        <x:v>15.849999999999994</x:v>
      </x:c>
      <x:c r="I57" s="35" t="n">
        <x:f>XLOOKUP(E57,Dynamic_Points!$A:$A,Dynamic_Points!$G:$G)</x:f>
        <x:v>449.35</x:v>
      </x:c>
      <x:c r="J57" s="35" t="n">
        <x:v>15.85</x:v>
      </x:c>
      <x:c r="K57" s="35" t="n">
        <x:v>261.35</x:v>
      </x:c>
      <x:c r="L57" s="35" t="n">
        <x:v>15.85</x:v>
      </x:c>
      <x:c r="M57" s="35" t="n">
        <x:v>449.35</x:v>
      </x:c>
      <x:c r="N57" s="35" t="n">
        <x:f>H57-F57</x:f>
        <x:v>0</x:v>
      </x:c>
      <x:c r="O57" s="35" t="n">
        <x:f>I57-G57</x:f>
        <x:v>188</x:v>
      </x:c>
      <x:c r="P57" s="35" t="n">
        <x:f>SQRT(N57^2+O57^2)</x:f>
        <x:v>188</x:v>
      </x:c>
      <x:c r="Q57" s="35" t="n">
        <x:f>IFERROR(ABS(DEGREES(ATAN(O57/N57))),IF(O57=0,0,90))</x:f>
        <x:v>90</x:v>
      </x:c>
      <x:c r="R57" s="34" t="str">
        <x:v>W</x:v>
      </x:c>
      <x:c r="S57" s="34" t="str">
        <x:v>Vertical length = W - 2mm</x:v>
      </x:c>
      <x:c r="T57" s="34" t="str">
        <x:v>Left vertical crease</x:v>
      </x:c>
    </x:row>
    <x:row r="58">
      <x:c r="A58" s="34" t="str">
        <x:v>CREASE10</x:v>
      </x:c>
      <x:c r="B58" s="34" t="str">
        <x:v>CREASE</x:v>
      </x:c>
      <x:c r="C58" s="34" t="str">
        <x:v>CREASE_10_object</x:v>
      </x:c>
      <x:c r="D58" s="34" t="str">
        <x:v>P047</x:v>
      </x:c>
      <x:c r="E58" s="34" t="str">
        <x:v>P055</x:v>
      </x:c>
      <x:c r="F58" s="35" t="n">
        <x:f>XLOOKUP(D58,Dynamic_Points!$A:$A,Dynamic_Points!$E:$E)</x:f>
        <x:v>64.85</x:v>
      </x:c>
      <x:c r="G58" s="35" t="n">
        <x:f>XLOOKUP(D58,Dynamic_Points!$A:$A,Dynamic_Points!$G:$G)</x:f>
        <x:v>449.35</x:v>
      </x:c>
      <x:c r="H58" s="35" t="n">
        <x:f>XLOOKUP(E58,Dynamic_Points!$A:$A,Dynamic_Points!$E:$E)</x:f>
        <x:v>0.3499999999999943</x:v>
      </x:c>
      <x:c r="I58" s="35" t="n">
        <x:f>XLOOKUP(E58,Dynamic_Points!$A:$A,Dynamic_Points!$G:$G)</x:f>
        <x:v>384.85</x:v>
      </x:c>
      <x:c r="J58" s="35" t="n">
        <x:v>64.85</x:v>
      </x:c>
      <x:c r="K58" s="35" t="n">
        <x:v>449.35</x:v>
      </x:c>
      <x:c r="L58" s="35" t="n">
        <x:v>0.35</x:v>
      </x:c>
      <x:c r="M58" s="35" t="n">
        <x:v>384.85</x:v>
      </x:c>
      <x:c r="N58" s="35" t="n">
        <x:f>H58-F58</x:f>
        <x:v>-64.5</x:v>
      </x:c>
      <x:c r="O58" s="35" t="n">
        <x:f>I58-G58</x:f>
        <x:v>-64.5</x:v>
      </x:c>
      <x:c r="P58" s="35" t="n">
        <x:f>SQRT(N58^2+O58^2)</x:f>
        <x:v>91.21677477306463</x:v>
      </x:c>
      <x:c r="Q58" s="35" t="n">
        <x:f>IFERROR(ABS(DEGREES(ATAN(O58/N58))),IF(O58=0,0,90))</x:f>
        <x:v>45</x:v>
      </x:c>
      <x:c r="R58" s="34" t="str">
        <x:v>Fixed-angle linked</x:v>
      </x:c>
      <x:c r="S58" s="34" t="str">
        <x:v>45 degrees</x:v>
      </x:c>
      <x:c r="T58" s="34" t="str">
        <x:v>Left lower diagonal crease</x:v>
      </x:c>
    </x:row>
    <x:row r="59">
      <x:c r="A59" s="34" t="str">
        <x:v>CREASE11</x:v>
      </x:c>
      <x:c r="B59" s="34" t="str">
        <x:v>CREASE</x:v>
      </x:c>
      <x:c r="C59" s="34" t="str">
        <x:v>CREASE_11_object</x:v>
      </x:c>
      <x:c r="D59" s="34" t="str">
        <x:v>P001</x:v>
      </x:c>
      <x:c r="E59" s="34" t="str">
        <x:v>P003</x:v>
      </x:c>
      <x:c r="F59" s="35" t="n">
        <x:f>XLOOKUP(D59,Dynamic_Points!$A:$A,Dynamic_Points!$E:$E)</x:f>
        <x:v>315.85</x:v>
      </x:c>
      <x:c r="G59" s="35" t="n">
        <x:f>XLOOKUP(D59,Dynamic_Points!$A:$A,Dynamic_Points!$G:$G)</x:f>
        <x:v>260.35</x:v>
      </x:c>
      <x:c r="H59" s="35" t="n">
        <x:f>XLOOKUP(E59,Dynamic_Points!$A:$A,Dynamic_Points!$E:$E)</x:f>
        <x:v>315.85</x:v>
      </x:c>
      <x:c r="I59" s="35" t="n">
        <x:f>XLOOKUP(E59,Dynamic_Points!$A:$A,Dynamic_Points!$G:$G)</x:f>
        <x:v>210.35</x:v>
      </x:c>
      <x:c r="J59" s="35" t="n">
        <x:v>315.85</x:v>
      </x:c>
      <x:c r="K59" s="35" t="n">
        <x:v>260.35</x:v>
      </x:c>
      <x:c r="L59" s="35" t="n">
        <x:v>315.85</x:v>
      </x:c>
      <x:c r="M59" s="35" t="n">
        <x:v>210.35</x:v>
      </x:c>
      <x:c r="N59" s="35" t="n">
        <x:f>H59-F59</x:f>
        <x:v>0</x:v>
      </x:c>
      <x:c r="O59" s="35" t="n">
        <x:f>I59-G59</x:f>
        <x:v>-50.00000000000003</x:v>
      </x:c>
      <x:c r="P59" s="35" t="n">
        <x:f>SQRT(N59^2+O59^2)</x:f>
        <x:v>50.00000000000003</x:v>
      </x:c>
      <x:c r="Q59" s="35" t="n">
        <x:f>IFERROR(ABS(DEGREES(ATAN(O59/N59))),IF(O59=0,0,90))</x:f>
        <x:v>90</x:v>
      </x:c>
      <x:c r="R59" s="34" t="str">
        <x:v>H</x:v>
      </x:c>
      <x:c r="S59" s="34" t="str">
        <x:v>Vertical length = H</x:v>
      </x:c>
      <x:c r="T59" s="34" t="str">
        <x:v>Right upper H crease</x:v>
      </x:c>
    </x:row>
    <x:row r="60">
      <x:c r="A60" s="34" t="str">
        <x:v>CREASE12</x:v>
      </x:c>
      <x:c r="B60" s="34" t="str">
        <x:v>CREASE</x:v>
      </x:c>
      <x:c r="C60" s="34" t="str">
        <x:v>CREASE_12_object</x:v>
      </x:c>
      <x:c r="D60" s="34" t="str">
        <x:v>P007</x:v>
      </x:c>
      <x:c r="E60" s="34" t="str">
        <x:v>P005</x:v>
      </x:c>
      <x:c r="F60" s="35" t="n">
        <x:f>XLOOKUP(D60,Dynamic_Points!$A:$A,Dynamic_Points!$E:$E)</x:f>
        <x:v>315.85</x:v>
      </x:c>
      <x:c r="G60" s="35" t="n">
        <x:f>XLOOKUP(D60,Dynamic_Points!$A:$A,Dynamic_Points!$G:$G)</x:f>
        <x:v>500.35</x:v>
      </x:c>
      <x:c r="H60" s="35" t="n">
        <x:f>XLOOKUP(E60,Dynamic_Points!$A:$A,Dynamic_Points!$E:$E)</x:f>
        <x:v>315.85</x:v>
      </x:c>
      <x:c r="I60" s="35" t="n">
        <x:f>XLOOKUP(E60,Dynamic_Points!$A:$A,Dynamic_Points!$G:$G)</x:f>
        <x:v>450.35</x:v>
      </x:c>
      <x:c r="J60" s="35" t="n">
        <x:v>315.85</x:v>
      </x:c>
      <x:c r="K60" s="35" t="n">
        <x:v>500.35</x:v>
      </x:c>
      <x:c r="L60" s="35" t="n">
        <x:v>315.85</x:v>
      </x:c>
      <x:c r="M60" s="35" t="n">
        <x:v>450.35</x:v>
      </x:c>
      <x:c r="N60" s="35" t="n">
        <x:f>H60-F60</x:f>
        <x:v>0</x:v>
      </x:c>
      <x:c r="O60" s="35" t="n">
        <x:f>I60-G60</x:f>
        <x:v>-50</x:v>
      </x:c>
      <x:c r="P60" s="35" t="n">
        <x:f>SQRT(N60^2+O60^2)</x:f>
        <x:v>50</x:v>
      </x:c>
      <x:c r="Q60" s="35" t="n">
        <x:f>IFERROR(ABS(DEGREES(ATAN(O60/N60))),IF(O60=0,0,90))</x:f>
        <x:v>90</x:v>
      </x:c>
      <x:c r="R60" s="34" t="str">
        <x:v>H</x:v>
      </x:c>
      <x:c r="S60" s="34" t="str">
        <x:v>Vertical length = H</x:v>
      </x:c>
      <x:c r="T60" s="34" t="str">
        <x:v>Right lower H crease</x:v>
      </x:c>
    </x:row>
    <x:row r="61">
      <x:c r="A61" s="34" t="str">
        <x:v>CREASE13</x:v>
      </x:c>
      <x:c r="B61" s="34" t="str">
        <x:v>CREASE</x:v>
      </x:c>
      <x:c r="C61" s="34" t="str">
        <x:v>CREASE_13_object</x:v>
      </x:c>
      <x:c r="D61" s="34" t="str">
        <x:v>P005</x:v>
      </x:c>
      <x:c r="E61" s="34" t="str">
        <x:v>P001</x:v>
      </x:c>
      <x:c r="F61" s="35" t="n">
        <x:f>XLOOKUP(D61,Dynamic_Points!$A:$A,Dynamic_Points!$E:$E)</x:f>
        <x:v>315.85</x:v>
      </x:c>
      <x:c r="G61" s="35" t="n">
        <x:f>XLOOKUP(D61,Dynamic_Points!$A:$A,Dynamic_Points!$G:$G)</x:f>
        <x:v>450.35</x:v>
      </x:c>
      <x:c r="H61" s="35" t="n">
        <x:f>XLOOKUP(E61,Dynamic_Points!$A:$A,Dynamic_Points!$E:$E)</x:f>
        <x:v>315.85</x:v>
      </x:c>
      <x:c r="I61" s="35" t="n">
        <x:f>XLOOKUP(E61,Dynamic_Points!$A:$A,Dynamic_Points!$G:$G)</x:f>
        <x:v>260.35</x:v>
      </x:c>
      <x:c r="J61" s="35" t="n">
        <x:v>315.85</x:v>
      </x:c>
      <x:c r="K61" s="35" t="n">
        <x:v>450.35</x:v>
      </x:c>
      <x:c r="L61" s="35" t="n">
        <x:v>315.85</x:v>
      </x:c>
      <x:c r="M61" s="35" t="n">
        <x:v>260.35</x:v>
      </x:c>
      <x:c r="N61" s="35" t="n">
        <x:f>H61-F61</x:f>
        <x:v>0</x:v>
      </x:c>
      <x:c r="O61" s="35" t="n">
        <x:f>I61-G61</x:f>
        <x:v>-190</x:v>
      </x:c>
      <x:c r="P61" s="35" t="n">
        <x:f>SQRT(N61^2+O61^2)</x:f>
        <x:v>190</x:v>
      </x:c>
      <x:c r="Q61" s="35" t="n">
        <x:f>IFERROR(ABS(DEGREES(ATAN(O61/N61))),IF(O61=0,0,90))</x:f>
        <x:v>90</x:v>
      </x:c>
      <x:c r="R61" s="34" t="str">
        <x:v>W</x:v>
      </x:c>
      <x:c r="S61" s="34" t="str">
        <x:v>Vertical length = W</x:v>
      </x:c>
      <x:c r="T61" s="34" t="str">
        <x:v>Right main W crease</x:v>
      </x:c>
    </x:row>
    <x:row r="62">
      <x:c r="A62" s="34" t="str">
        <x:v>CREASE14</x:v>
      </x:c>
      <x:c r="B62" s="34" t="str">
        <x:v>CREASE</x:v>
      </x:c>
      <x:c r="C62" s="34" t="str">
        <x:v>CREASE_14_object</x:v>
      </x:c>
      <x:c r="D62" s="34" t="str">
        <x:v>P002</x:v>
      </x:c>
      <x:c r="E62" s="34" t="str">
        <x:v>P004</x:v>
      </x:c>
      <x:c r="F62" s="35" t="n">
        <x:f>XLOOKUP(D62,Dynamic_Points!$A:$A,Dynamic_Points!$E:$E)</x:f>
        <x:v>65.85</x:v>
      </x:c>
      <x:c r="G62" s="35" t="n">
        <x:f>XLOOKUP(D62,Dynamic_Points!$A:$A,Dynamic_Points!$G:$G)</x:f>
        <x:v>260.35</x:v>
      </x:c>
      <x:c r="H62" s="35" t="n">
        <x:f>XLOOKUP(E62,Dynamic_Points!$A:$A,Dynamic_Points!$E:$E)</x:f>
        <x:v>65.85</x:v>
      </x:c>
      <x:c r="I62" s="35" t="n">
        <x:f>XLOOKUP(E62,Dynamic_Points!$A:$A,Dynamic_Points!$G:$G)</x:f>
        <x:v>210.35</x:v>
      </x:c>
      <x:c r="J62" s="35" t="n">
        <x:v>65.85</x:v>
      </x:c>
      <x:c r="K62" s="35" t="n">
        <x:v>260.35</x:v>
      </x:c>
      <x:c r="L62" s="35" t="n">
        <x:v>65.85</x:v>
      </x:c>
      <x:c r="M62" s="35" t="n">
        <x:v>210.35</x:v>
      </x:c>
      <x:c r="N62" s="35" t="n">
        <x:f>H62-F62</x:f>
        <x:v>0</x:v>
      </x:c>
      <x:c r="O62" s="35" t="n">
        <x:f>I62-G62</x:f>
        <x:v>-50.00000000000003</x:v>
      </x:c>
      <x:c r="P62" s="35" t="n">
        <x:f>SQRT(N62^2+O62^2)</x:f>
        <x:v>50.00000000000003</x:v>
      </x:c>
      <x:c r="Q62" s="35" t="n">
        <x:f>IFERROR(ABS(DEGREES(ATAN(O62/N62))),IF(O62=0,0,90))</x:f>
        <x:v>90</x:v>
      </x:c>
      <x:c r="R62" s="34" t="str">
        <x:v>H</x:v>
      </x:c>
      <x:c r="S62" s="34" t="str">
        <x:v>Vertical length = H</x:v>
      </x:c>
      <x:c r="T62" s="34" t="str">
        <x:v>Left upper H crease</x:v>
      </x:c>
    </x:row>
    <x:row r="63">
      <x:c r="A63" s="34" t="str">
        <x:v>CREASE15</x:v>
      </x:c>
      <x:c r="B63" s="34" t="str">
        <x:v>CREASE</x:v>
      </x:c>
      <x:c r="C63" s="34" t="str">
        <x:v>CREASE_15_object</x:v>
      </x:c>
      <x:c r="D63" s="34" t="str">
        <x:v>P008</x:v>
      </x:c>
      <x:c r="E63" s="34" t="str">
        <x:v>P006</x:v>
      </x:c>
      <x:c r="F63" s="35" t="n">
        <x:f>XLOOKUP(D63,Dynamic_Points!$A:$A,Dynamic_Points!$E:$E)</x:f>
        <x:v>65.85</x:v>
      </x:c>
      <x:c r="G63" s="35" t="n">
        <x:f>XLOOKUP(D63,Dynamic_Points!$A:$A,Dynamic_Points!$G:$G)</x:f>
        <x:v>500.35</x:v>
      </x:c>
      <x:c r="H63" s="35" t="n">
        <x:f>XLOOKUP(E63,Dynamic_Points!$A:$A,Dynamic_Points!$E:$E)</x:f>
        <x:v>65.85</x:v>
      </x:c>
      <x:c r="I63" s="35" t="n">
        <x:f>XLOOKUP(E63,Dynamic_Points!$A:$A,Dynamic_Points!$G:$G)</x:f>
        <x:v>450.35</x:v>
      </x:c>
      <x:c r="J63" s="35" t="n">
        <x:v>65.85</x:v>
      </x:c>
      <x:c r="K63" s="35" t="n">
        <x:v>500.35</x:v>
      </x:c>
      <x:c r="L63" s="35" t="n">
        <x:v>65.85</x:v>
      </x:c>
      <x:c r="M63" s="35" t="n">
        <x:v>450.35</x:v>
      </x:c>
      <x:c r="N63" s="35" t="n">
        <x:f>H63-F63</x:f>
        <x:v>0</x:v>
      </x:c>
      <x:c r="O63" s="35" t="n">
        <x:f>I63-G63</x:f>
        <x:v>-50</x:v>
      </x:c>
      <x:c r="P63" s="35" t="n">
        <x:f>SQRT(N63^2+O63^2)</x:f>
        <x:v>50</x:v>
      </x:c>
      <x:c r="Q63" s="35" t="n">
        <x:f>IFERROR(ABS(DEGREES(ATAN(O63/N63))),IF(O63=0,0,90))</x:f>
        <x:v>90</x:v>
      </x:c>
      <x:c r="R63" s="34" t="str">
        <x:v>H</x:v>
      </x:c>
      <x:c r="S63" s="34" t="str">
        <x:v>Vertical length = H</x:v>
      </x:c>
      <x:c r="T63" s="34" t="str">
        <x:v>Left lower H crease</x:v>
      </x:c>
    </x:row>
    <x:row r="64">
      <x:c r="A64" s="34" t="str">
        <x:v>CREASE16</x:v>
      </x:c>
      <x:c r="B64" s="34" t="str">
        <x:v>CREASE</x:v>
      </x:c>
      <x:c r="C64" s="34" t="str">
        <x:v>CREASE_16_object</x:v>
      </x:c>
      <x:c r="D64" s="34" t="str">
        <x:v>P006</x:v>
      </x:c>
      <x:c r="E64" s="34" t="str">
        <x:v>P002</x:v>
      </x:c>
      <x:c r="F64" s="35" t="n">
        <x:f>XLOOKUP(D64,Dynamic_Points!$A:$A,Dynamic_Points!$E:$E)</x:f>
        <x:v>65.85</x:v>
      </x:c>
      <x:c r="G64" s="35" t="n">
        <x:f>XLOOKUP(D64,Dynamic_Points!$A:$A,Dynamic_Points!$G:$G)</x:f>
        <x:v>450.35</x:v>
      </x:c>
      <x:c r="H64" s="35" t="n">
        <x:f>XLOOKUP(E64,Dynamic_Points!$A:$A,Dynamic_Points!$E:$E)</x:f>
        <x:v>65.85</x:v>
      </x:c>
      <x:c r="I64" s="35" t="n">
        <x:f>XLOOKUP(E64,Dynamic_Points!$A:$A,Dynamic_Points!$G:$G)</x:f>
        <x:v>260.35</x:v>
      </x:c>
      <x:c r="J64" s="35" t="n">
        <x:v>65.85</x:v>
      </x:c>
      <x:c r="K64" s="35" t="n">
        <x:v>450.35</x:v>
      </x:c>
      <x:c r="L64" s="35" t="n">
        <x:v>65.85</x:v>
      </x:c>
      <x:c r="M64" s="35" t="n">
        <x:v>260.35</x:v>
      </x:c>
      <x:c r="N64" s="35" t="n">
        <x:f>H64-F64</x:f>
        <x:v>0</x:v>
      </x:c>
      <x:c r="O64" s="35" t="n">
        <x:f>I64-G64</x:f>
        <x:v>-190</x:v>
      </x:c>
      <x:c r="P64" s="35" t="n">
        <x:f>SQRT(N64^2+O64^2)</x:f>
        <x:v>190</x:v>
      </x:c>
      <x:c r="Q64" s="35" t="n">
        <x:f>IFERROR(ABS(DEGREES(ATAN(O64/N64))),IF(O64=0,0,90))</x:f>
        <x:v>90</x:v>
      </x:c>
      <x:c r="R64" s="34" t="str">
        <x:v>W</x:v>
      </x:c>
      <x:c r="S64" s="34" t="str">
        <x:v>Vertical length = W</x:v>
      </x:c>
      <x:c r="T64" s="34" t="str">
        <x:v>Left main W crease</x:v>
      </x:c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pageMargins left="0.7" right="0.7" top="0.75" bottom="0.75" header="0.3" footer="0.3"/>
  <x:tableParts count="1">
    <x:tablePart xmlns:r="http://schemas.openxmlformats.org/officeDocument/2006/relationships" r:id="R588b73821c0940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.5" hidden="0" customWidth="1"/>
    <x:col min="3" max="3" width="11.380000114440918" hidden="0" customWidth="1"/>
    <x:col min="4" max="4" width="82.62999725341797" hidden="0" customWidth="1"/>
    <x:col min="5" max="5" width="82.25" hidden="0" customWidth="1"/>
    <x:col min="6" max="6" width="145" hidden="0" customWidth="1"/>
  </x:cols>
  <x:sheetData>
    <x:row r="1">
      <x:c r="A1" s="33" t="str">
        <x:v>Rule_ID</x:v>
      </x:c>
      <x:c r="B1" s="33" t="str">
        <x:v>Input</x:v>
      </x:c>
      <x:c r="C1" s="33" t="str">
        <x:v>Reference</x:v>
      </x:c>
      <x:c r="D1" s="33" t="str">
        <x:v>Delta Formula</x:v>
      </x:c>
      <x:c r="E1" s="33" t="str">
        <x:v>Lines / Anchors affected</x:v>
      </x:c>
      <x:c r="F1" s="33" t="str">
        <x:v>Required Behavior</x:v>
      </x:c>
      <x:c r="G1" s="6"/>
      <x:c r="H1" s="6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>
      <x:c r="A2" s="34" t="str">
        <x:v>MR-L</x:v>
      </x:c>
      <x:c r="B2" s="34" t="str">
        <x:v>L</x:v>
      </x:c>
      <x:c r="C2" s="34" t="n">
        <x:v>250</x:v>
      </x:c>
      <x:c r="D2" s="34" t="n">
        <x:f>Inputs!$B$9</x:f>
        <x:v>0</x:v>
      </x:c>
      <x:c r="E2" s="34" t="str">
        <x:v>A5, CREASE1, CREASE2, CREASE3, CREASE4, M1; right-side anchors move with X_Right_Main</x:v>
      </x:c>
      <x:c r="F2" s="34" t="str">
        <x:v>When L changes, X_Right_Main = X_Left_Main + L; all right-side points move by Delta_L while left anchors stay fixed, keeping all line endpoints connected.</x:v>
      </x:c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34" t="str">
        <x:v>MR-W</x:v>
      </x:c>
      <x:c r="B3" s="34" t="str">
        <x:v>W</x:v>
      </x:c>
      <x:c r="C3" s="34" t="n">
        <x:v>190</x:v>
      </x:c>
      <x:c r="D3" s="34" t="n">
        <x:f>Inputs!$B$10</x:f>
        <x:v>0</x:v>
      </x:c>
      <x:c r="E3" s="34" t="str">
        <x:v>B2, B4, G3, I3, CREASE6, CREASE9, CREASE13, CREASE16 and all vertically linked side anchors</x:v>
      </x:c>
      <x:c r="F3" s="34" t="str">
        <x:v>When W changes, Y_Cover_Bottom, Y_Base_Bottom, and related vertical anchors move so W-dependent lines stretch/shrink by Delta_W.</x:v>
      </x:c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4">
      <x:c r="A4" s="34" t="str">
        <x:v>MR-H</x:v>
      </x:c>
      <x:c r="B4" s="34" t="str">
        <x:v>H</x:v>
      </x:c>
      <x:c r="C4" s="34" t="n">
        <x:v>50</x:v>
      </x:c>
      <x:c r="D4" s="34" t="n">
        <x:f>Inputs!$B$11</x:f>
        <x:v>0</x:v>
      </x:c>
      <x:c r="E4" s="34" t="str">
        <x:v>C3, D3, E3, F3, H2, H3, J2, J3, CREASE11, CREASE12, CREASE14, CREASE15 and H-linked slanted/mirror anchors</x:v>
      </x:c>
      <x:c r="F4" s="34" t="str">
        <x:v>When H changes, all H primary and mirror/counterpart lines stretch/shrink by Delta_H. H2/H3/J2/J3 must not remain fixed; they are H mirror/counterpart lines and must keep connections closed.</x:v>
      </x:c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>
      <x:c r="A5" s="34" t="str">
        <x:v>MR-Connectivity</x:v>
      </x:c>
      <x:c r="B5" s="34" t="str">
        <x:v>All</x:v>
      </x:c>
      <x:c r="C5" s="34" t="str">
        <x:v>Reference SVG</x:v>
      </x:c>
      <x:c r="D5" s="34" t="str">
        <x:v>N/A</x:v>
      </x:c>
      <x:c r="E5" s="34" t="str">
        <x:v>All points shared by multiple lines</x:v>
      </x:c>
      <x:c r="F5" s="34" t="str">
        <x:v>Every line endpoint is a Dynamic_Point. Connected lines reference the same point ID, so the system must not create independent endpoints that can separate.</x:v>
      </x:c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</x:row>
    <x:row r="6">
      <x:c r="A6" s="34" t="str">
        <x:v>MR-No-Scale</x:v>
      </x:c>
      <x:c r="B6" s="34" t="str">
        <x:v>All</x:v>
      </x:c>
      <x:c r="C6" s="34" t="str">
        <x:v>N/A</x:v>
      </x:c>
      <x:c r="D6" s="34" t="str">
        <x:v>N/A</x:v>
      </x:c>
      <x:c r="E6" s="34" t="str">
        <x:v>All geometry</x:v>
      </x:c>
      <x:c r="F6" s="34" t="str">
        <x:v>Do not use global scale. Regenerate point coordinates from Inputs and line rules.</x:v>
      </x:c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 t="str">
        <x:v>MR-AREA-CDEF</x:v>
      </x:c>
      <x:c r="B7" s="34" t="str">
        <x:v>H / L_AREA_HEIGHT</x:v>
      </x:c>
      <x:c r="C7" s="34" t="n">
        <x:v>50</x:v>
      </x:c>
      <x:c r="D7" s="34" t="str">
        <x:v>C_AREA_Width = L_AREA_Height; at reference C/D/E/F straight width is 47mm, so width = 47 + Delta_H = H - 3</x:v>
      </x:c>
      <x:c r="E7" s="34" t="str">
        <x:v>C2, C4 and mirrored counterparts D2, D4, E4, E2, F2, F4</x:v>
      </x:c>
      <x:c r="F7" s="34" t="str">
        <x:v>C/D/E/F areas resize through the listed straight/slanted edges; slanted edges keep 12° by recalculating vertical offset from the dynamic horizontal width.</x:v>
      </x:c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pageMargins left="0.7" right="0.7" top="0.75" bottom="0.75" header="0.3" footer="0.3"/>
  <x:tableParts count="1">
    <x:tablePart xmlns:r="http://schemas.openxmlformats.org/officeDocument/2006/relationships" r:id="R6cf15fb3194145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54.880001068115234" hidden="0" customWidth="1"/>
    <x:col min="3" max="3" width="26.25" hidden="0" customWidth="1"/>
    <x:col min="4" max="4" width="130.3800048828125" hidden="0" customWidth="1"/>
  </x:cols>
  <x:sheetData>
    <x:row r="1">
      <x:c r="A1" s="33" t="str">
        <x:v>Angle_Group</x:v>
      </x:c>
      <x:c r="B1" s="33" t="str">
        <x:v>Lines</x:v>
      </x:c>
      <x:c r="C1" s="33" t="str">
        <x:v>Required Angle</x:v>
      </x:c>
      <x:c r="D1" s="33" t="str">
        <x:v>How preserved</x:v>
      </x:c>
      <x:c r="E1" s="6"/>
      <x:c r="F1" s="6"/>
      <x:c r="G1" s="6"/>
      <x:c r="H1" s="6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>
      <x:c r="A2" s="34" t="str">
        <x:v>45 degree lines</x:v>
      </x:c>
      <x:c r="B2" s="34" t="str">
        <x:v>C1, C5, D1, D5, E1, E5, F1, F5, CREASE5, CREASE7, CREASE8, CREASE10</x:v>
      </x:c>
      <x:c r="C2" s="34" t="str">
        <x:v>45°</x:v>
      </x:c>
      <x:c r="D2" s="34" t="str">
        <x:v>Endpoints are calculated with equal X/Y offsets or fixed 45° dynamic anchors.</x:v>
      </x:c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34" t="str">
        <x:v>12 degree H-linked lines</x:v>
      </x:c>
      <x:c r="B3" s="34" t="str">
        <x:v>C2, D2, E4, F2</x:v>
      </x:c>
      <x:c r="C3" s="34" t="str">
        <x:v>≈12°</x:v>
      </x:c>
      <x:c r="D3" s="34" t="str">
        <x:v>These slanted lines are part of the C/D/E/F area width rule. Horizontal offset = C_AREA_Width (=H-3). Vertical offset = C_AREA_Width × TAN(12°), preserving 12° while resizing.</x:v>
      </x:c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4">
      <x:c r="A4" s="34" t="str">
        <x:v>12 degree side lines</x:v>
      </x:c>
      <x:c r="B4" s="34" t="str">
        <x:v>G4, I4</x:v>
      </x:c>
      <x:c r="C4" s="34" t="str">
        <x:v>≈12°</x:v>
      </x:c>
      <x:c r="D4" s="34" t="str">
        <x:v>Corrected from G4-14 to G4-I4. Preserve their dynamic endpoints and angle.</x:v>
      </x:c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>
      <x:c r="A5" s="34" t="str">
        <x:v>20.85 degree side lines</x:v>
      </x:c>
      <x:c r="B5" s="34" t="str">
        <x:v>G2, I2</x:v>
      </x:c>
      <x:c r="C5" s="34" t="str">
        <x:v>20.85°</x:v>
      </x:c>
      <x:c r="D5" s="34" t="str">
        <x:v>Offsets 9.5mm x 3.62mm are preserved at side lower connectors.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</x:row>
    <x:row r="6">
      <x:c r="A6" s="34" t="str">
        <x:v>Vertical W lines</x:v>
      </x:c>
      <x:c r="B6" s="34" t="str">
        <x:v>B2, B4, G3, I3, CREASE6, CREASE9, CREASE13, CREASE16</x:v>
      </x:c>
      <x:c r="C6" s="34" t="str">
        <x:v>90°</x:v>
      </x:c>
      <x:c r="D6" s="34" t="str">
        <x:v>Only length changes. X coordinate remains fixed or moves as linked anchor.</x:v>
      </x:c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 t="str">
        <x:v>Vertical H lines</x:v>
      </x:c>
      <x:c r="B7" s="34" t="str">
        <x:v>C3, D3, E3, F3, H2, H3, J2, J3, CREASE11, CREASE12, CREASE14, CREASE15</x:v>
      </x:c>
      <x:c r="C7" s="34" t="str">
        <x:v>90° / 0° depending line orientation</x:v>
      </x:c>
      <x:c r="D7" s="34" t="str">
        <x:v>These are H-linked primary and mirror/counterpart lines. Length changes with Delta_H while endpoints remain connected to neighboring lines.</x:v>
      </x:c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pageMargins left="0.7" right="0.7" top="0.75" bottom="0.75" header="0.3" footer="0.3"/>
  <x:tableParts count="1">
    <x:tablePart xmlns:r="http://schemas.openxmlformats.org/officeDocument/2006/relationships" r:id="Reca50ebb707f41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0" hidden="0" customWidth="1"/>
    <x:col min="3" max="3" width="13.5" hidden="0" customWidth="1"/>
    <x:col min="4" max="4" width="53.75" hidden="0" customWidth="1"/>
  </x:cols>
  <x:sheetData>
    <x:row r="1">
      <x:c r="A1" s="6" t="str">
        <x:v>Reference</x:v>
      </x:c>
      <x:c r="B1" s="6" t="str">
        <x:v>Mirror_Target</x:v>
      </x:c>
      <x:c r="C1" s="6" t="str">
        <x:v>Mirror_Type</x:v>
      </x:c>
      <x:c r="D1" s="6" t="str">
        <x:v>Meaning</x:v>
      </x:c>
      <x:c r="E1" s="6"/>
      <x:c r="F1" s="6"/>
      <x:c r="G1" s="6"/>
      <x:c r="H1" s="6"/>
    </x:row>
    <x:row r="2">
      <x:c r="A2" t="str">
        <x:v>Right lower tongue F1-F5</x:v>
      </x:c>
      <x:c r="B2" t="str">
        <x:v>Left lower tongue E1-E5</x:v>
      </x:c>
      <x:c r="C2" t="str">
        <x:v>Horizontal Mirror</x:v>
      </x:c>
      <x:c r="D2" t="str">
        <x:v>E is the horizontal mirror of F around the main body left/right structure.</x:v>
      </x:c>
    </x:row>
    <x:row r="3">
      <x:c r="A3" t="str">
        <x:v>Right upper tongue D1-D5</x:v>
      </x:c>
      <x:c r="B3" t="str">
        <x:v>Left upper tongue C1-C5</x:v>
      </x:c>
      <x:c r="C3" t="str">
        <x:v>Horizontal Mirror</x:v>
      </x:c>
      <x:c r="D3" t="str">
        <x:v>C is the horizontal mirror of D.</x:v>
      </x:c>
    </x:row>
    <x:row r="4">
      <x:c r="A4" t="str">
        <x:v>Right lower tongue F1-F5</x:v>
      </x:c>
      <x:c r="B4" t="str">
        <x:v>Right upper tongue D1-D5</x:v>
      </x:c>
      <x:c r="C4" t="str">
        <x:v>Vertical Mirror</x:v>
      </x:c>
      <x:c r="D4" t="str">
        <x:v>D is vertical mirror of F with top/bottom orientation reversed.</x:v>
      </x:c>
    </x:row>
    <x:row r="5">
      <x:c r="A5" t="str">
        <x:v>Left lower tongue E1-E5</x:v>
      </x:c>
      <x:c r="B5" t="str">
        <x:v>Left upper tongue C1-C5</x:v>
      </x:c>
      <x:c r="C5" t="str">
        <x:v>Vertical Mirror</x:v>
      </x:c>
      <x:c r="D5" t="str">
        <x:v>C is vertical mirror of E.</x:v>
      </x:c>
    </x:row>
    <x:row r="6">
      <x:c r="A6" t="str">
        <x:v>Right side group J/I</x:v>
      </x:c>
      <x:c r="B6" t="str">
        <x:v>Left side group H/G</x:v>
      </x:c>
      <x:c r="C6" t="str">
        <x:v>Horizontal Mirror</x:v>
      </x:c>
      <x:c r="D6" t="str">
        <x:v>Left side side flaps mirror right side side flaps.</x:v>
      </x:c>
    </x:row>
    <x:row r="7">
      <x:c r="A7" t="str">
        <x:v>CREASE11 tongue reference</x:v>
      </x:c>
      <x:c r="B7" t="str">
        <x:v>CREASE14 tongue</x:v>
      </x:c>
      <x:c r="C7" t="str">
        <x:v>Horizontal Mirror</x:v>
      </x:c>
      <x:c r="D7" t="str">
        <x:v>Tongue near CREASE14 is horizontal mirror of tongue near CREASE11.</x:v>
      </x:c>
    </x:row>
    <x:row r="8">
      <x:c r="A8" t="str">
        <x:v>CREASE11 tongue reference</x:v>
      </x:c>
      <x:c r="B8" t="str">
        <x:v>CREASE12 tongue</x:v>
      </x:c>
      <x:c r="C8" t="str">
        <x:v>Vertical Mirror</x:v>
      </x:c>
      <x:c r="D8" t="str">
        <x:v>Tongue near CREASE12 is vertical mirror of tongue near CREASE11.</x:v>
      </x:c>
    </x:row>
    <x:row r="9">
      <x:c r="A9" t="str">
        <x:v>CREASE14 tongue</x:v>
      </x:c>
      <x:c r="B9" t="str">
        <x:v>CREASE15 tongue</x:v>
      </x:c>
      <x:c r="C9" t="str">
        <x:v>Vertical Mirror</x:v>
      </x:c>
      <x:c r="D9" t="str">
        <x:v>Tongue near CREASE15 is vertical mirror of tongue near CREASE14.</x:v>
      </x:c>
    </x:row>
  </x:sheetData>
  <x:pageMargins left="0.7" right="0.7" top="0.75" bottom="0.75" header="0.3" footer="0.3"/>
  <x:tableParts count="1">
    <x:tablePart xmlns:r="http://schemas.openxmlformats.org/officeDocument/2006/relationships" r:id="Ra9d4d2b82c5145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7.8799991607666" hidden="0" customWidth="1"/>
    <x:col min="3" max="3" width="29.6299991607666" hidden="0" customWidth="1"/>
    <x:col min="4" max="4" width="70.62999725341797" hidden="0" customWidth="1"/>
  </x:cols>
  <x:sheetData>
    <x:row r="1">
      <x:c r="A1" s="6" t="str">
        <x:v>Point_ID</x:v>
      </x:c>
      <x:c r="B1" s="6" t="str">
        <x:v>Connected Lines Count</x:v>
      </x:c>
      <x:c r="C1" s="6" t="str">
        <x:v>Connected Lines</x:v>
      </x:c>
      <x:c r="D1" s="6" t="str">
        <x:v>Rule</x:v>
      </x:c>
      <x:c r="E1" s="6"/>
      <x:c r="F1" s="6"/>
      <x:c r="G1" s="6"/>
      <x:c r="H1" s="6"/>
    </x:row>
    <x:row r="2">
      <x:c r="A2" t="str">
        <x:v>P001</x:v>
      </x:c>
      <x:c r="B2" t="n">
        <x:v>5</x:v>
      </x:c>
      <x:c r="C2" t="str">
        <x:v>D1, J4, CREASE1, CREASE11, CREASE13</x:v>
      </x:c>
      <x:c r="D2" t="str">
        <x:v>All connected lines must use this same dynamic point; never calculate independent endpoints.</x:v>
      </x:c>
    </x:row>
    <x:row r="3">
      <x:c r="A3" t="str">
        <x:v>P002</x:v>
      </x:c>
      <x:c r="B3" t="n">
        <x:v>5</x:v>
      </x:c>
      <x:c r="C3" t="str">
        <x:v>C1, H4, CREASE1, CREASE14, CREASE16</x:v>
      </x:c>
      <x:c r="D3" t="str">
        <x:v>All connected lines must use this same dynamic point; never calculate independent endpoints.</x:v>
      </x:c>
    </x:row>
    <x:row r="4">
      <x:c r="A4" t="str">
        <x:v>P003</x:v>
      </x:c>
      <x:c r="B4" t="n">
        <x:v>4</x:v>
      </x:c>
      <x:c r="C4" t="str">
        <x:v>B4, D5, CREASE3, CREASE11</x:v>
      </x:c>
      <x:c r="D4" t="str">
        <x:v>All connected lines must use this same dynamic point; never calculate independent endpoints.</x:v>
      </x:c>
    </x:row>
    <x:row r="5">
      <x:c r="A5" t="str">
        <x:v>P004</x:v>
      </x:c>
      <x:c r="B5" t="n">
        <x:v>4</x:v>
      </x:c>
      <x:c r="C5" t="str">
        <x:v>B2, C5, CREASE3, CREASE14</x:v>
      </x:c>
      <x:c r="D5" t="str">
        <x:v>All connected lines must use this same dynamic point; never calculate independent endpoints.</x:v>
      </x:c>
    </x:row>
    <x:row r="6">
      <x:c r="A6" t="str">
        <x:v>P005</x:v>
      </x:c>
      <x:c r="B6" t="n">
        <x:v>5</x:v>
      </x:c>
      <x:c r="C6" t="str">
        <x:v>J1, F1, CREASE2, CREASE12, CREASE13</x:v>
      </x:c>
      <x:c r="D6" t="str">
        <x:v>All connected lines must use this same dynamic point; never calculate independent endpoints.</x:v>
      </x:c>
    </x:row>
    <x:row r="7">
      <x:c r="A7" t="str">
        <x:v>P006</x:v>
      </x:c>
      <x:c r="B7" t="n">
        <x:v>5</x:v>
      </x:c>
      <x:c r="C7" t="str">
        <x:v>H1, E5, CREASE2, CREASE15, CREASE16</x:v>
      </x:c>
      <x:c r="D7" t="str">
        <x:v>All connected lines must use this same dynamic point; never calculate independent endpoints.</x:v>
      </x:c>
    </x:row>
    <x:row r="8">
      <x:c r="A8" t="str">
        <x:v>P007</x:v>
      </x:c>
      <x:c r="B8" t="n">
        <x:v>3</x:v>
      </x:c>
      <x:c r="C8" t="str">
        <x:v>F5, M1, CREASE12</x:v>
      </x:c>
      <x:c r="D8" t="str">
        <x:v>All connected lines must use this same dynamic point; never calculate independent endpoints.</x:v>
      </x:c>
    </x:row>
    <x:row r="9">
      <x:c r="A9" t="str">
        <x:v>P008</x:v>
      </x:c>
      <x:c r="B9" t="n">
        <x:v>3</x:v>
      </x:c>
      <x:c r="C9" t="str">
        <x:v>E1, M1, CREASE15</x:v>
      </x:c>
      <x:c r="D9" t="str">
        <x:v>All connected lines must use this same dynamic point; never calculate independent endpoints.</x:v>
      </x:c>
    </x:row>
    <x:row r="10">
      <x:c r="A10" t="str">
        <x:v>P009</x:v>
      </x:c>
      <x:c r="B10" t="n">
        <x:v>2</x:v>
      </x:c>
      <x:c r="C10" t="str">
        <x:v>B3, B4</x:v>
      </x:c>
      <x:c r="D10" t="str">
        <x:v>All connected lines must use this same dynamic point; never calculate independent endpoints.</x:v>
      </x:c>
    </x:row>
    <x:row r="11">
      <x:c r="A11" t="str">
        <x:v>P010</x:v>
      </x:c>
      <x:c r="B11" t="n">
        <x:v>2</x:v>
      </x:c>
      <x:c r="C11" t="str">
        <x:v>B1, B2</x:v>
      </x:c>
      <x:c r="D11" t="str">
        <x:v>All connected lines must use this same dynamic point; never calculate independent endpoints.</x:v>
      </x:c>
    </x:row>
    <x:row r="12">
      <x:c r="A12" t="str">
        <x:v>P015</x:v>
      </x:c>
      <x:c r="B12" t="n">
        <x:v>2</x:v>
      </x:c>
      <x:c r="C12" t="str">
        <x:v>A1, A2</x:v>
      </x:c>
      <x:c r="D12" t="str">
        <x:v>All connected lines must use this same dynamic point; never calculate independent endpoints.</x:v>
      </x:c>
    </x:row>
    <x:row r="13">
      <x:c r="A13" t="str">
        <x:v>P017</x:v>
      </x:c>
      <x:c r="B13" t="n">
        <x:v>2</x:v>
      </x:c>
      <x:c r="C13" t="str">
        <x:v>A2, B1</x:v>
      </x:c>
      <x:c r="D13" t="str">
        <x:v>All connected lines must use this same dynamic point; never calculate independent endpoints.</x:v>
      </x:c>
    </x:row>
    <x:row r="14">
      <x:c r="A14" t="str">
        <x:v>P018</x:v>
      </x:c>
      <x:c r="B14" t="n">
        <x:v>2</x:v>
      </x:c>
      <x:c r="C14" t="str">
        <x:v>A8, A9</x:v>
      </x:c>
      <x:c r="D14" t="str">
        <x:v>All connected lines must use this same dynamic point; never calculate independent endpoints.</x:v>
      </x:c>
    </x:row>
    <x:row r="15">
      <x:c r="A15" t="str">
        <x:v>P020</x:v>
      </x:c>
      <x:c r="B15" t="n">
        <x:v>3</x:v>
      </x:c>
      <x:c r="C15" t="str">
        <x:v>B3, A7, A8</x:v>
      </x:c>
      <x:c r="D15" t="str">
        <x:v>All connected lines must use this same dynamic point; never calculate independent endpoints.</x:v>
      </x:c>
    </x:row>
    <x:row r="16">
      <x:c r="A16" t="str">
        <x:v>P022</x:v>
      </x:c>
      <x:c r="B16" t="n">
        <x:v>2</x:v>
      </x:c>
      <x:c r="C16" t="str">
        <x:v>D5, D4</x:v>
      </x:c>
      <x:c r="D16" t="str">
        <x:v>All connected lines must use this same dynamic point; never calculate independent endpoints.</x:v>
      </x:c>
    </x:row>
    <x:row r="17">
      <x:c r="A17" t="str">
        <x:v>P023</x:v>
      </x:c>
      <x:c r="B17" t="n">
        <x:v>2</x:v>
      </x:c>
      <x:c r="C17" t="str">
        <x:v>D4, D3</x:v>
      </x:c>
      <x:c r="D17" t="str">
        <x:v>All connected lines must use this same dynamic point; never calculate independent endpoints.</x:v>
      </x:c>
    </x:row>
    <x:row r="18">
      <x:c r="A18" t="str">
        <x:v>P024</x:v>
      </x:c>
      <x:c r="B18" t="n">
        <x:v>2</x:v>
      </x:c>
      <x:c r="C18" t="str">
        <x:v>D3, D2</x:v>
      </x:c>
      <x:c r="D18" t="str">
        <x:v>All connected lines must use this same dynamic point; never calculate independent endpoints.</x:v>
      </x:c>
    </x:row>
    <x:row r="19">
      <x:c r="A19" t="str">
        <x:v>P025</x:v>
      </x:c>
      <x:c r="B19" t="n">
        <x:v>2</x:v>
      </x:c>
      <x:c r="C19" t="str">
        <x:v>D2, D1</x:v>
      </x:c>
      <x:c r="D19" t="str">
        <x:v>All connected lines must use this same dynamic point; never calculate independent endpoints.</x:v>
      </x:c>
    </x:row>
    <x:row r="20">
      <x:c r="A20" t="str">
        <x:v>P026</x:v>
      </x:c>
      <x:c r="B20" t="n">
        <x:v>2</x:v>
      </x:c>
      <x:c r="C20" t="str">
        <x:v>C5, C4</x:v>
      </x:c>
      <x:c r="D20" t="str">
        <x:v>All connected lines must use this same dynamic point; never calculate independent endpoints.</x:v>
      </x:c>
    </x:row>
    <x:row r="21">
      <x:c r="A21" t="str">
        <x:v>P027</x:v>
      </x:c>
      <x:c r="B21" t="n">
        <x:v>2</x:v>
      </x:c>
      <x:c r="C21" t="str">
        <x:v>C4, C3</x:v>
      </x:c>
      <x:c r="D21" t="str">
        <x:v>All connected lines must use this same dynamic point; never calculate independent endpoints.</x:v>
      </x:c>
    </x:row>
    <x:row r="22">
      <x:c r="A22" t="str">
        <x:v>P028</x:v>
      </x:c>
      <x:c r="B22" t="n">
        <x:v>2</x:v>
      </x:c>
      <x:c r="C22" t="str">
        <x:v>C3, C2</x:v>
      </x:c>
      <x:c r="D22" t="str">
        <x:v>All connected lines must use this same dynamic point; never calculate independent endpoints.</x:v>
      </x:c>
    </x:row>
    <x:row r="23">
      <x:c r="A23" t="str">
        <x:v>P029</x:v>
      </x:c>
      <x:c r="B23" t="n">
        <x:v>2</x:v>
      </x:c>
      <x:c r="C23" t="str">
        <x:v>C2, C1</x:v>
      </x:c>
      <x:c r="D23" t="str">
        <x:v>All connected lines must use this same dynamic point; never calculate independent endpoints.</x:v>
      </x:c>
    </x:row>
    <x:row r="24">
      <x:c r="A24" t="str">
        <x:v>P030</x:v>
      </x:c>
      <x:c r="B24" t="n">
        <x:v>2</x:v>
      </x:c>
      <x:c r="C24" t="str">
        <x:v>F1, F2</x:v>
      </x:c>
      <x:c r="D24" t="str">
        <x:v>All connected lines must use this same dynamic point; never calculate independent endpoints.</x:v>
      </x:c>
    </x:row>
    <x:row r="25">
      <x:c r="A25" t="str">
        <x:v>P031</x:v>
      </x:c>
      <x:c r="B25" t="n">
        <x:v>2</x:v>
      </x:c>
      <x:c r="C25" t="str">
        <x:v>F2, F3</x:v>
      </x:c>
      <x:c r="D25" t="str">
        <x:v>All connected lines must use this same dynamic point; never calculate independent endpoints.</x:v>
      </x:c>
    </x:row>
    <x:row r="26">
      <x:c r="A26" t="str">
        <x:v>P032</x:v>
      </x:c>
      <x:c r="B26" t="n">
        <x:v>2</x:v>
      </x:c>
      <x:c r="C26" t="str">
        <x:v>F3, F4</x:v>
      </x:c>
      <x:c r="D26" t="str">
        <x:v>All connected lines must use this same dynamic point; never calculate independent endpoints.</x:v>
      </x:c>
    </x:row>
    <x:row r="27">
      <x:c r="A27" t="str">
        <x:v>P033</x:v>
      </x:c>
      <x:c r="B27" t="n">
        <x:v>2</x:v>
      </x:c>
      <x:c r="C27" t="str">
        <x:v>F4, F5</x:v>
      </x:c>
      <x:c r="D27" t="str">
        <x:v>All connected lines must use this same dynamic point; never calculate independent endpoints.</x:v>
      </x:c>
    </x:row>
    <x:row r="28">
      <x:c r="A28" t="str">
        <x:v>P034</x:v>
      </x:c>
      <x:c r="B28" t="n">
        <x:v>2</x:v>
      </x:c>
      <x:c r="C28" t="str">
        <x:v>E4, E5</x:v>
      </x:c>
      <x:c r="D28" t="str">
        <x:v>All connected lines must use this same dynamic point; never calculate independent endpoints.</x:v>
      </x:c>
    </x:row>
    <x:row r="29">
      <x:c r="A29" t="str">
        <x:v>P035</x:v>
      </x:c>
      <x:c r="B29" t="n">
        <x:v>2</x:v>
      </x:c>
      <x:c r="C29" t="str">
        <x:v>E3, E4</x:v>
      </x:c>
      <x:c r="D29" t="str">
        <x:v>All connected lines must use this same dynamic point; never calculate independent endpoints.</x:v>
      </x:c>
    </x:row>
    <x:row r="30">
      <x:c r="A30" t="str">
        <x:v>P036</x:v>
      </x:c>
      <x:c r="B30" t="n">
        <x:v>2</x:v>
      </x:c>
      <x:c r="C30" t="str">
        <x:v>E2, E3</x:v>
      </x:c>
      <x:c r="D30" t="str">
        <x:v>All connected lines must use this same dynamic point; never calculate independent endpoints.</x:v>
      </x:c>
    </x:row>
    <x:row r="31">
      <x:c r="A31" t="str">
        <x:v>P037</x:v>
      </x:c>
      <x:c r="B31" t="n">
        <x:v>2</x:v>
      </x:c>
      <x:c r="C31" t="str">
        <x:v>E1, E2</x:v>
      </x:c>
      <x:c r="D31" t="str">
        <x:v>All connected lines must use this same dynamic point; never calculate independent endpoints.</x:v>
      </x:c>
    </x:row>
    <x:row r="32">
      <x:c r="A32" t="str">
        <x:v>P038</x:v>
      </x:c>
      <x:c r="B32" t="n">
        <x:v>3</x:v>
      </x:c>
      <x:c r="C32" t="str">
        <x:v>J4, J3, CREASE5</x:v>
      </x:c>
      <x:c r="D32" t="str">
        <x:v>All connected lines must use this same dynamic point; never calculate independent endpoints.</x:v>
      </x:c>
    </x:row>
    <x:row r="33">
      <x:c r="A33" t="str">
        <x:v>P039</x:v>
      </x:c>
      <x:c r="B33" t="n">
        <x:v>3</x:v>
      </x:c>
      <x:c r="C33" t="str">
        <x:v>J3, I4, CREASE6</x:v>
      </x:c>
      <x:c r="D33" t="str">
        <x:v>All connected lines must use this same dynamic point; never calculate independent endpoints.</x:v>
      </x:c>
    </x:row>
    <x:row r="34">
      <x:c r="A34" t="str">
        <x:v>P040</x:v>
      </x:c>
      <x:c r="B34" t="n">
        <x:v>3</x:v>
      </x:c>
      <x:c r="C34" t="str">
        <x:v>J2, J1, CREASE7</x:v>
      </x:c>
      <x:c r="D34" t="str">
        <x:v>All connected lines must use this same dynamic point; never calculate independent endpoints.</x:v>
      </x:c>
    </x:row>
    <x:row r="35">
      <x:c r="A35" t="str">
        <x:v>P041</x:v>
      </x:c>
      <x:c r="B35" t="n">
        <x:v>3</x:v>
      </x:c>
      <x:c r="C35" t="str">
        <x:v>J2, I1, CREASE6</x:v>
      </x:c>
      <x:c r="D35" t="str">
        <x:v>All connected lines must use this same dynamic point; never calculate independent endpoints.</x:v>
      </x:c>
    </x:row>
    <x:row r="36">
      <x:c r="A36" t="str">
        <x:v>P042</x:v>
      </x:c>
      <x:c r="B36" t="n">
        <x:v>2</x:v>
      </x:c>
      <x:c r="C36" t="str">
        <x:v>I2, I1</x:v>
      </x:c>
      <x:c r="D36" t="str">
        <x:v>All connected lines must use this same dynamic point; never calculate independent endpoints.</x:v>
      </x:c>
    </x:row>
    <x:row r="37">
      <x:c r="A37" t="str">
        <x:v>P043</x:v>
      </x:c>
      <x:c r="B37" t="n">
        <x:v>2</x:v>
      </x:c>
      <x:c r="C37" t="str">
        <x:v>I3, I2</x:v>
      </x:c>
      <x:c r="D37" t="str">
        <x:v>All connected lines must use this same dynamic point; never calculate independent endpoints.</x:v>
      </x:c>
    </x:row>
    <x:row r="38">
      <x:c r="A38" t="str">
        <x:v>P044</x:v>
      </x:c>
      <x:c r="B38" t="n">
        <x:v>2</x:v>
      </x:c>
      <x:c r="C38" t="str">
        <x:v>I4, I3</x:v>
      </x:c>
      <x:c r="D38" t="str">
        <x:v>All connected lines must use this same dynamic point; never calculate independent endpoints.</x:v>
      </x:c>
    </x:row>
    <x:row r="39">
      <x:c r="A39" t="str">
        <x:v>P045</x:v>
      </x:c>
      <x:c r="B39" t="n">
        <x:v>3</x:v>
      </x:c>
      <x:c r="C39" t="str">
        <x:v>H4, H3, CREASE8</x:v>
      </x:c>
      <x:c r="D39" t="str">
        <x:v>All connected lines must use this same dynamic point; never calculate independent endpoints.</x:v>
      </x:c>
    </x:row>
    <x:row r="40">
      <x:c r="A40" t="str">
        <x:v>P046</x:v>
      </x:c>
      <x:c r="B40" t="n">
        <x:v>3</x:v>
      </x:c>
      <x:c r="C40" t="str">
        <x:v>H3, G4, CREASE9</x:v>
      </x:c>
      <x:c r="D40" t="str">
        <x:v>All connected lines must use this same dynamic point; never calculate independent endpoints.</x:v>
      </x:c>
    </x:row>
    <x:row r="41">
      <x:c r="A41" t="str">
        <x:v>P047</x:v>
      </x:c>
      <x:c r="B41" t="n">
        <x:v>3</x:v>
      </x:c>
      <x:c r="C41" t="str">
        <x:v>H2, H1, CREASE10</x:v>
      </x:c>
      <x:c r="D41" t="str">
        <x:v>All connected lines must use this same dynamic point; never calculate independent endpoints.</x:v>
      </x:c>
    </x:row>
    <x:row r="42">
      <x:c r="A42" t="str">
        <x:v>P048</x:v>
      </x:c>
      <x:c r="B42" t="n">
        <x:v>3</x:v>
      </x:c>
      <x:c r="C42" t="str">
        <x:v>H2, G1, CREASE9</x:v>
      </x:c>
      <x:c r="D42" t="str">
        <x:v>All connected lines must use this same dynamic point; never calculate independent endpoints.</x:v>
      </x:c>
    </x:row>
    <x:row r="43">
      <x:c r="A43" t="str">
        <x:v>P049</x:v>
      </x:c>
      <x:c r="B43" t="n">
        <x:v>2</x:v>
      </x:c>
      <x:c r="C43" t="str">
        <x:v>G2, G1</x:v>
      </x:c>
      <x:c r="D43" t="str">
        <x:v>All connected lines must use this same dynamic point; never calculate independent endpoints.</x:v>
      </x:c>
    </x:row>
    <x:row r="44">
      <x:c r="A44" t="str">
        <x:v>P050</x:v>
      </x:c>
      <x:c r="B44" t="n">
        <x:v>2</x:v>
      </x:c>
      <x:c r="C44" t="str">
        <x:v>G3, G2</x:v>
      </x:c>
      <x:c r="D44" t="str">
        <x:v>All connected lines must use this same dynamic point; never calculate independent endpoints.</x:v>
      </x:c>
    </x:row>
    <x:row r="45">
      <x:c r="A45" t="str">
        <x:v>P051</x:v>
      </x:c>
      <x:c r="B45" t="n">
        <x:v>2</x:v>
      </x:c>
      <x:c r="C45" t="str">
        <x:v>G4, G3</x:v>
      </x:c>
      <x:c r="D45" t="str">
        <x:v>All connected lines must use this same dynamic point; never calculate independent endpoints.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90.5" hidden="0" customWidth="1"/>
  </x:cols>
  <x:sheetData>
    <x:row r="1">
      <x:c r="A1" s="6" t="str">
        <x:v>Section</x:v>
      </x:c>
      <x:c r="B1" s="6" t="str">
        <x:v>Instruction</x:v>
      </x:c>
      <x:c r="C1" s="6"/>
      <x:c r="D1" s="6"/>
      <x:c r="E1" s="6"/>
      <x:c r="F1" s="6"/>
      <x:c r="G1" s="6"/>
      <x:c r="H1" s="6"/>
    </x:row>
    <x:row r="2">
      <x:c r="A2" t="str">
        <x:v>Source of truth</x:v>
      </x:c>
      <x:c r="B2" t="str">
        <x:v>Use BOX 1 MAP NEW.svg and BOX 1 TEMPLATE.svg to validate visual match. This Excel is the dynamic geometry blueprint.</x:v>
      </x:c>
    </x:row>
    <x:row r="3">
      <x:c r="A3" t="str">
        <x:v>Inputs</x:v>
      </x:c>
      <x:c r="B3" t="str">
        <x:v>Only L, W, H are editable in this blueprint. All dynamic points and line endpoints derive from them.</x:v>
      </x:c>
    </x:row>
    <x:row r="4">
      <x:c r="A4" t="str">
        <x:v>Units</x:v>
      </x:c>
      <x:c r="B4" t="str">
        <x:v>All coordinates and lengths are in mm. Reference SVG uses a 72dpi/mm conversion but this workbook works in mm.</x:v>
      </x:c>
    </x:row>
    <x:row r="5">
      <x:c r="A5" t="str">
        <x:v>Line generation</x:v>
      </x:c>
      <x:c r="B5" t="str">
        <x:v>Generate each line from Dynamic_Lines X1/Y1/X2/Y2. Do not independently move line endpoints.</x:v>
      </x:c>
    </x:row>
    <x:row r="6">
      <x:c r="A6" t="str">
        <x:v>Layer generation</x:v>
      </x:c>
      <x:c r="B6" t="str">
        <x:v>Layer column must be respected: CUT remains cut/red; CREASE remains crease/green.</x:v>
      </x:c>
    </x:row>
    <x:row r="7">
      <x:c r="A7" t="str">
        <x:v>No static geometry</x:v>
      </x:c>
      <x:c r="B7" t="str">
        <x:v>Do not use the attached SVG as static output. Use it only to verify and regenerate dynamic line geometry.</x:v>
      </x:c>
    </x:row>
    <x:row r="8">
      <x:c r="A8" t="str">
        <x:v>No global scale</x:v>
      </x:c>
      <x:c r="B8" t="str">
        <x:v>Do not scale the whole SVG. Use the point/line formulas in this workbook.</x:v>
      </x:c>
    </x:row>
    <x:row r="9">
      <x:c r="A9" t="str">
        <x:v>Connectivity</x:v>
      </x:c>
      <x:c r="B9" t="str">
        <x:v>Every endpoint is a shared Dynamic_Point. This is the anti-error mechanism to keep the template closed after changes.</x:v>
      </x:c>
    </x:row>
    <x:row r="10">
      <x:c r="A10" t="str">
        <x:v>Validation</x:v>
      </x:c>
      <x:c r="B10" t="str">
        <x:v>After any L/W/H change, check Dynamic_Lines has no broken connections and Angle_Rules lines keep required angles.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3.380000114440918" hidden="0" customWidth="1"/>
    <x:col min="3" max="3" width="3.380000114440918" hidden="0" customWidth="1"/>
    <x:col min="4" max="4" width="2.380000114440918" hidden="0" customWidth="1"/>
    <x:col min="5" max="5" width="13.630000114440918" hidden="0" customWidth="1"/>
    <x:col min="6" max="6" width="14.5" hidden="0" customWidth="1"/>
    <x:col min="7" max="7" width="14" hidden="0" customWidth="1"/>
    <x:col min="8" max="8" width="54" hidden="0" customWidth="1"/>
  </x:cols>
  <x:sheetData>
    <x:row r="1">
      <x:c r="A1" s="6" t="str">
        <x:v>Test</x:v>
      </x:c>
      <x:c r="B1" s="6" t="str">
        <x:v>L</x:v>
      </x:c>
      <x:c r="C1" s="6" t="str">
        <x:v>W</x:v>
      </x:c>
      <x:c r="D1" s="6" t="str">
        <x:v>H</x:v>
      </x:c>
      <x:c r="E1" s="6" t="str">
        <x:v>Expected Delta_L</x:v>
      </x:c>
      <x:c r="F1" s="6" t="str">
        <x:v>Expected Delta_W</x:v>
      </x:c>
      <x:c r="G1" s="6" t="str">
        <x:v>Expected Delta_H</x:v>
      </x:c>
      <x:c r="H1" s="6" t="str">
        <x:v>What to verify</x:v>
      </x:c>
    </x:row>
    <x:row r="2">
      <x:c r="A2" t="str">
        <x:v>Reference</x:v>
      </x:c>
      <x:c r="B2" t="n">
        <x:v>250</x:v>
      </x:c>
      <x:c r="C2" t="n">
        <x:v>190</x:v>
      </x:c>
      <x:c r="D2" t="n">
        <x:v>50</x:v>
      </x:c>
      <x:c r="E2" t="n">
        <x:v>0</x:v>
      </x:c>
      <x:c r="F2" t="n">
        <x:v>0</x:v>
      </x:c>
      <x:c r="G2" t="n">
        <x:v>0</x:v>
      </x:c>
      <x:c r="H2" t="str">
        <x:v>Should match source SVG dimensions</x:v>
      </x:c>
    </x:row>
    <x:row r="3">
      <x:c r="A3" t="str">
        <x:v>Shorter L</x:v>
      </x:c>
      <x:c r="B3" t="n">
        <x:v>240</x:v>
      </x:c>
      <x:c r="C3" t="n">
        <x:v>190</x:v>
      </x:c>
      <x:c r="D3" t="n">
        <x:v>50</x:v>
      </x:c>
      <x:c r="E3" t="n">
        <x:v>-10</x:v>
      </x:c>
      <x:c r="F3" t="n">
        <x:v>0</x:v>
      </x:c>
      <x:c r="G3" t="n">
        <x:v>0</x:v>
      </x:c>
      <x:c r="H3" t="str">
        <x:v>A5/creases/M1 reduce by 10mm; all right-linked points move left 10mm</x:v>
      </x:c>
    </x:row>
    <x:row r="4">
      <x:c r="A4" t="str">
        <x:v>Longer L</x:v>
      </x:c>
      <x:c r="B4" t="n">
        <x:v>280</x:v>
      </x:c>
      <x:c r="C4" t="n">
        <x:v>190</x:v>
      </x:c>
      <x:c r="D4" t="n">
        <x:v>50</x:v>
      </x:c>
      <x:c r="E4" t="n">
        <x:v>30</x:v>
      </x:c>
      <x:c r="F4" t="n">
        <x:v>0</x:v>
      </x:c>
      <x:c r="G4" t="n">
        <x:v>0</x:v>
      </x:c>
      <x:c r="H4" t="str">
        <x:v>A5/creases/M1 extend by 30mm; all connections remain closed</x:v>
      </x:c>
    </x:row>
    <x:row r="5">
      <x:c r="A5" t="str">
        <x:v>Smaller W</x:v>
      </x:c>
      <x:c r="B5" t="n">
        <x:v>250</x:v>
      </x:c>
      <x:c r="C5" t="n">
        <x:v>170</x:v>
      </x:c>
      <x:c r="D5" t="n">
        <x:v>50</x:v>
      </x:c>
      <x:c r="E5" t="n">
        <x:v>0</x:v>
      </x:c>
      <x:c r="F5" t="n">
        <x:v>-20</x:v>
      </x:c>
      <x:c r="G5" t="n">
        <x:v>0</x:v>
      </x:c>
      <x:c r="H5" t="str">
        <x:v>W verticals reduce 20mm; side flaps remain connected</x:v>
      </x:c>
    </x:row>
    <x:row r="6">
      <x:c r="A6" t="str">
        <x:v>Larger W</x:v>
      </x:c>
      <x:c r="B6" t="n">
        <x:v>250</x:v>
      </x:c>
      <x:c r="C6" t="n">
        <x:v>300</x:v>
      </x:c>
      <x:c r="D6" t="n">
        <x:v>50</x:v>
      </x:c>
      <x:c r="E6" t="n">
        <x:v>0</x:v>
      </x:c>
      <x:c r="F6" t="n">
        <x:v>110</x:v>
      </x:c>
      <x:c r="G6" t="n">
        <x:v>0</x:v>
      </x:c>
      <x:c r="H6" t="str">
        <x:v>W verticals extend 110mm; no gap or overlap</x:v>
      </x:c>
    </x:row>
    <x:row r="7">
      <x:c r="A7" t="str">
        <x:v>Smaller H</x:v>
      </x:c>
      <x:c r="B7" t="n">
        <x:v>250</x:v>
      </x:c>
      <x:c r="C7" t="n">
        <x:v>190</x:v>
      </x:c>
      <x:c r="D7" t="n">
        <x:v>40</x:v>
      </x:c>
      <x:c r="E7" t="n">
        <x:v>0</x:v>
      </x:c>
      <x:c r="F7" t="n">
        <x:v>0</x:v>
      </x:c>
      <x:c r="G7" t="n">
        <x:v>-10</x:v>
      </x:c>
      <x:c r="H7" t="str">
        <x:v>H verticals reduce 10mm; 45°/12° slants retain angles</x:v>
      </x:c>
    </x:row>
    <x:row r="8">
      <x:c r="A8" t="str">
        <x:v>Larger H</x:v>
      </x:c>
      <x:c r="B8" t="n">
        <x:v>250</x:v>
      </x:c>
      <x:c r="C8" t="n">
        <x:v>190</x:v>
      </x:c>
      <x:c r="D8" t="n">
        <x:v>60</x:v>
      </x:c>
      <x:c r="E8" t="n">
        <x:v>0</x:v>
      </x:c>
      <x:c r="F8" t="n">
        <x:v>0</x:v>
      </x:c>
      <x:c r="G8" t="n">
        <x:v>10</x:v>
      </x:c>
      <x:c r="H8" t="str">
        <x:v>H verticals extend 10mm; all tab lines remain connected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8" max="8" width="80" hidden="0" customWidth="1"/>
    <x:col min="9" max="9" width="40" hidden="0" customWidth="1"/>
  </x:cols>
  <x:sheetData>
    <x:row r="1">
      <x:c r="A1" s="26" t="str">
        <x:v>Line_ID</x:v>
      </x:c>
      <x:c r="B1" s="26" t="str">
        <x:v>Layer</x:v>
      </x:c>
      <x:c r="C1" s="26" t="str">
        <x:v>X1</x:v>
      </x:c>
      <x:c r="D1" s="26" t="str">
        <x:v>Y1</x:v>
      </x:c>
      <x:c r="E1" s="26" t="str">
        <x:v>X2</x:v>
      </x:c>
      <x:c r="F1" s="26" t="str">
        <x:v>Y2</x:v>
      </x:c>
      <x:c r="G1" s="26" t="str">
        <x:v>Stroke</x:v>
      </x:c>
      <x:c r="H1" s="26" t="str">
        <x:v>SVG_Line_Tag</x:v>
      </x:c>
      <x:c r="I1" s="26" t="str">
        <x:v>Build Note</x:v>
      </x:c>
    </x:row>
    <x:row r="2">
      <x:c r="A2" t="str">
        <x:v>A1</x:v>
      </x:c>
      <x:c r="B2" t="str">
        <x:v>CUT</x:v>
      </x:c>
      <x:c r="C2" s="22" t="n">
        <x:f>INDEX(Dynamic_Lines!$F:$F,MATCH(A2,Dynamic_Lines!$A:$A,0))</x:f>
        <x:v>74.85</x:v>
      </x:c>
      <x:c r="D2" s="22" t="n">
        <x:f>INDEX(Dynamic_Lines!$G:$G,MATCH(A2,Dynamic_Lines!$A:$A,0))</x:f>
        <x:v>22.35</x:v>
      </x:c>
      <x:c r="E2" s="22" t="n">
        <x:f>INDEX(Dynamic_Lines!$H:$H,MATCH(A2,Dynamic_Lines!$A:$A,0))</x:f>
        <x:v>74.85</x:v>
      </x:c>
      <x:c r="F2" s="22" t="n">
        <x:f>INDEX(Dynamic_Lines!$I:$I,MATCH(A2,Dynamic_Lines!$A:$A,0))</x:f>
        <x:v>20.35</x:v>
      </x:c>
      <x:c r="G2" t="str">
        <x:v>#ED1C24</x:v>
      </x:c>
      <x:c r="H2" t="e">
        <x:f>"&lt;line id="&amp;CHAR(34)&amp;A2&amp;CHAR(34)&amp;" x1="&amp;CHAR(34)&amp;TEXT(C2,"0.00")&amp;"mm"&amp;CHAR(34)&amp;" y1="&amp;CHAR(34)&amp;TEXT(D2,"0.00")&amp;"mm"&amp;CHAR(34)&amp;" x2="&amp;CHAR(34)&amp;TEXT(E2,"0.00")&amp;"mm"&amp;CHAR(34)&amp;" y2="&amp;CHAR(34)&amp;TEXT(F2,"0.00")&amp;"mm"&amp;CHAR(34)&amp;" stroke="&amp;CHAR(34)&amp;G2&amp;CHAR(34)&amp;" fill="&amp;CHAR(34)&amp;"none"&amp;CHAR(34)&amp;" /&gt;"</x:f>
      </x:c>
      <x:c r="I2" t="str">
        <x:v>Use dynamic values from Dynamic_Lines; all units are mm</x:v>
      </x:c>
    </x:row>
    <x:row r="3">
      <x:c r="A3" t="str">
        <x:v>A2</x:v>
      </x:c>
      <x:c r="B3" t="str">
        <x:v>CUT</x:v>
      </x:c>
      <x:c r="C3" s="22" t="n">
        <x:f>INDEX(Dynamic_Lines!$F:$F,MATCH(A3,Dynamic_Lines!$A:$A,0))</x:f>
        <x:v>74.85</x:v>
      </x:c>
      <x:c r="D3" s="22" t="n">
        <x:f>INDEX(Dynamic_Lines!$G:$G,MATCH(A3,Dynamic_Lines!$A:$A,0))</x:f>
        <x:v>20.35</x:v>
      </x:c>
      <x:c r="E3" s="22" t="n">
        <x:f>INDEX(Dynamic_Lines!$H:$H,MATCH(A3,Dynamic_Lines!$A:$A,0))</x:f>
        <x:v>66.35</x:v>
      </x:c>
      <x:c r="F3" s="22" t="n">
        <x:f>INDEX(Dynamic_Lines!$I:$I,MATCH(A3,Dynamic_Lines!$A:$A,0))</x:f>
        <x:v>20.35</x:v>
      </x:c>
      <x:c r="G3" t="str">
        <x:v>#ED1C24</x:v>
      </x:c>
      <x:c r="H3" t="e">
        <x:f>"&lt;line id="&amp;CHAR(34)&amp;A3&amp;CHAR(34)&amp;" x1="&amp;CHAR(34)&amp;TEXT(C3,"0.00")&amp;"mm"&amp;CHAR(34)&amp;" y1="&amp;CHAR(34)&amp;TEXT(D3,"0.00")&amp;"mm"&amp;CHAR(34)&amp;" x2="&amp;CHAR(34)&amp;TEXT(E3,"0.00")&amp;"mm"&amp;CHAR(34)&amp;" y2="&amp;CHAR(34)&amp;TEXT(F3,"0.00")&amp;"mm"&amp;CHAR(34)&amp;" stroke="&amp;CHAR(34)&amp;G3&amp;CHAR(34)&amp;" fill="&amp;CHAR(34)&amp;"none"&amp;CHAR(34)&amp;" /&gt;"</x:f>
      </x:c>
      <x:c r="I3" t="str">
        <x:v>Use dynamic values from Dynamic_Lines; all units are mm</x:v>
      </x:c>
    </x:row>
    <x:row r="4">
      <x:c r="A4" t="str">
        <x:v>B1</x:v>
      </x:c>
      <x:c r="B4" t="str">
        <x:v>CUT</x:v>
      </x:c>
      <x:c r="C4" s="22" t="n">
        <x:f>INDEX(Dynamic_Lines!$F:$F,MATCH(A4,Dynamic_Lines!$A:$A,0))</x:f>
        <x:v>66.35</x:v>
      </x:c>
      <x:c r="D4" s="22" t="n">
        <x:f>INDEX(Dynamic_Lines!$G:$G,MATCH(A4,Dynamic_Lines!$A:$A,0))</x:f>
        <x:v>20.35</x:v>
      </x:c>
      <x:c r="E4" s="22" t="n">
        <x:f>INDEX(Dynamic_Lines!$H:$H,MATCH(A4,Dynamic_Lines!$A:$A,0))</x:f>
        <x:v>65.85</x:v>
      </x:c>
      <x:c r="F4" s="22" t="n">
        <x:f>INDEX(Dynamic_Lines!$I:$I,MATCH(A4,Dynamic_Lines!$A:$A,0))</x:f>
        <x:v>20.35</x:v>
      </x:c>
      <x:c r="G4" t="str">
        <x:v>#ED1C24</x:v>
      </x:c>
      <x:c r="H4" t="e">
        <x:f>"&lt;line id="&amp;CHAR(34)&amp;A4&amp;CHAR(34)&amp;" x1="&amp;CHAR(34)&amp;TEXT(C4,"0.00")&amp;"mm"&amp;CHAR(34)&amp;" y1="&amp;CHAR(34)&amp;TEXT(D4,"0.00")&amp;"mm"&amp;CHAR(34)&amp;" x2="&amp;CHAR(34)&amp;TEXT(E4,"0.00")&amp;"mm"&amp;CHAR(34)&amp;" y2="&amp;CHAR(34)&amp;TEXT(F4,"0.00")&amp;"mm"&amp;CHAR(34)&amp;" stroke="&amp;CHAR(34)&amp;G4&amp;CHAR(34)&amp;" fill="&amp;CHAR(34)&amp;"none"&amp;CHAR(34)&amp;" /&gt;"</x:f>
      </x:c>
      <x:c r="I4" t="str">
        <x:v>Use dynamic values from Dynamic_Lines; all units are mm</x:v>
      </x:c>
    </x:row>
    <x:row r="5">
      <x:c r="A5" t="str">
        <x:v>B2</x:v>
      </x:c>
      <x:c r="B5" t="str">
        <x:v>CUT</x:v>
      </x:c>
      <x:c r="C5" s="22" t="n">
        <x:f>INDEX(Dynamic_Lines!$F:$F,MATCH(A5,Dynamic_Lines!$A:$A,0))</x:f>
        <x:v>65.85</x:v>
      </x:c>
      <x:c r="D5" s="22" t="n">
        <x:f>INDEX(Dynamic_Lines!$G:$G,MATCH(A5,Dynamic_Lines!$A:$A,0))</x:f>
        <x:v>20.35</x:v>
      </x:c>
      <x:c r="E5" s="22" t="n">
        <x:f>INDEX(Dynamic_Lines!$H:$H,MATCH(A5,Dynamic_Lines!$A:$A,0))</x:f>
        <x:v>65.85</x:v>
      </x:c>
      <x:c r="F5" s="22" t="n">
        <x:f>INDEX(Dynamic_Lines!$I:$I,MATCH(A5,Dynamic_Lines!$A:$A,0))</x:f>
        <x:v>210.35</x:v>
      </x:c>
      <x:c r="G5" t="str">
        <x:v>#ED1C24</x:v>
      </x:c>
      <x:c r="H5" t="e">
        <x:f>"&lt;line id="&amp;CHAR(34)&amp;A5&amp;CHAR(34)&amp;" x1="&amp;CHAR(34)&amp;TEXT(C5,"0.00")&amp;"mm"&amp;CHAR(34)&amp;" y1="&amp;CHAR(34)&amp;TEXT(D5,"0.00")&amp;"mm"&amp;CHAR(34)&amp;" x2="&amp;CHAR(34)&amp;TEXT(E5,"0.00")&amp;"mm"&amp;CHAR(34)&amp;" y2="&amp;CHAR(34)&amp;TEXT(F5,"0.00")&amp;"mm"&amp;CHAR(34)&amp;" stroke="&amp;CHAR(34)&amp;G5&amp;CHAR(34)&amp;" fill="&amp;CHAR(34)&amp;"none"&amp;CHAR(34)&amp;" /&gt;"</x:f>
      </x:c>
      <x:c r="I5" t="str">
        <x:v>Use dynamic values from Dynamic_Lines; all units are mm</x:v>
      </x:c>
    </x:row>
    <x:row r="6">
      <x:c r="A6" t="str">
        <x:v>B3</x:v>
      </x:c>
      <x:c r="B6" t="str">
        <x:v>CUT</x:v>
      </x:c>
      <x:c r="C6" s="22" t="n">
        <x:f>INDEX(Dynamic_Lines!$F:$F,MATCH(A6,Dynamic_Lines!$A:$A,0))</x:f>
        <x:v>315.35</x:v>
      </x:c>
      <x:c r="D6" s="22" t="n">
        <x:f>INDEX(Dynamic_Lines!$G:$G,MATCH(A6,Dynamic_Lines!$A:$A,0))</x:f>
        <x:v>20.35</x:v>
      </x:c>
      <x:c r="E6" s="22" t="n">
        <x:f>INDEX(Dynamic_Lines!$H:$H,MATCH(A6,Dynamic_Lines!$A:$A,0))</x:f>
        <x:v>315.85</x:v>
      </x:c>
      <x:c r="F6" s="22" t="n">
        <x:f>INDEX(Dynamic_Lines!$I:$I,MATCH(A6,Dynamic_Lines!$A:$A,0))</x:f>
        <x:v>20.35</x:v>
      </x:c>
      <x:c r="G6" t="str">
        <x:v>#ED1C24</x:v>
      </x:c>
      <x:c r="H6" t="e">
        <x:f>"&lt;line id="&amp;CHAR(34)&amp;A6&amp;CHAR(34)&amp;" x1="&amp;CHAR(34)&amp;TEXT(C6,"0.00")&amp;"mm"&amp;CHAR(34)&amp;" y1="&amp;CHAR(34)&amp;TEXT(D6,"0.00")&amp;"mm"&amp;CHAR(34)&amp;" x2="&amp;CHAR(34)&amp;TEXT(E6,"0.00")&amp;"mm"&amp;CHAR(34)&amp;" y2="&amp;CHAR(34)&amp;TEXT(F6,"0.00")&amp;"mm"&amp;CHAR(34)&amp;" stroke="&amp;CHAR(34)&amp;G6&amp;CHAR(34)&amp;" fill="&amp;CHAR(34)&amp;"none"&amp;CHAR(34)&amp;" /&gt;"</x:f>
      </x:c>
      <x:c r="I6" t="str">
        <x:v>Use dynamic values from Dynamic_Lines; all units are mm</x:v>
      </x:c>
    </x:row>
    <x:row r="7">
      <x:c r="A7" t="str">
        <x:v>B4</x:v>
      </x:c>
      <x:c r="B7" t="str">
        <x:v>CUT</x:v>
      </x:c>
      <x:c r="C7" s="22" t="n">
        <x:f>INDEX(Dynamic_Lines!$F:$F,MATCH(A7,Dynamic_Lines!$A:$A,0))</x:f>
        <x:v>315.85</x:v>
      </x:c>
      <x:c r="D7" s="22" t="n">
        <x:f>INDEX(Dynamic_Lines!$G:$G,MATCH(A7,Dynamic_Lines!$A:$A,0))</x:f>
        <x:v>20.35</x:v>
      </x:c>
      <x:c r="E7" s="22" t="n">
        <x:f>INDEX(Dynamic_Lines!$H:$H,MATCH(A7,Dynamic_Lines!$A:$A,0))</x:f>
        <x:v>315.85</x:v>
      </x:c>
      <x:c r="F7" s="22" t="n">
        <x:f>INDEX(Dynamic_Lines!$I:$I,MATCH(A7,Dynamic_Lines!$A:$A,0))</x:f>
        <x:v>210.35</x:v>
      </x:c>
      <x:c r="G7" t="str">
        <x:v>#ED1C24</x:v>
      </x:c>
      <x:c r="H7" t="e">
        <x:f>"&lt;line id="&amp;CHAR(34)&amp;A7&amp;CHAR(34)&amp;" x1="&amp;CHAR(34)&amp;TEXT(C7,"0.00")&amp;"mm"&amp;CHAR(34)&amp;" y1="&amp;CHAR(34)&amp;TEXT(D7,"0.00")&amp;"mm"&amp;CHAR(34)&amp;" x2="&amp;CHAR(34)&amp;TEXT(E7,"0.00")&amp;"mm"&amp;CHAR(34)&amp;" y2="&amp;CHAR(34)&amp;TEXT(F7,"0.00")&amp;"mm"&amp;CHAR(34)&amp;" stroke="&amp;CHAR(34)&amp;G7&amp;CHAR(34)&amp;" fill="&amp;CHAR(34)&amp;"none"&amp;CHAR(34)&amp;" /&gt;"</x:f>
      </x:c>
      <x:c r="I7" t="str">
        <x:v>Use dynamic values from Dynamic_Lines; all units are mm</x:v>
      </x:c>
    </x:row>
    <x:row r="8">
      <x:c r="A8" t="str">
        <x:v>A7</x:v>
      </x:c>
      <x:c r="B8" t="str">
        <x:v>CUT</x:v>
      </x:c>
      <x:c r="C8" s="22" t="n">
        <x:f>INDEX(Dynamic_Lines!$F:$F,MATCH(A8,Dynamic_Lines!$A:$A,0))</x:f>
        <x:v>315.35</x:v>
      </x:c>
      <x:c r="D8" s="22" t="n">
        <x:f>INDEX(Dynamic_Lines!$G:$G,MATCH(A8,Dynamic_Lines!$A:$A,0))</x:f>
        <x:v>12.350000000000001</x:v>
      </x:c>
      <x:c r="E8" s="22" t="n">
        <x:f>INDEX(Dynamic_Lines!$H:$H,MATCH(A8,Dynamic_Lines!$A:$A,0))</x:f>
        <x:v>315.35</x:v>
      </x:c>
      <x:c r="F8" s="22" t="n">
        <x:f>INDEX(Dynamic_Lines!$I:$I,MATCH(A8,Dynamic_Lines!$A:$A,0))</x:f>
        <x:v>20.35</x:v>
      </x:c>
      <x:c r="G8" t="str">
        <x:v>#ED1C24</x:v>
      </x:c>
      <x:c r="H8" t="e">
        <x:f>"&lt;line id="&amp;CHAR(34)&amp;A8&amp;CHAR(34)&amp;" x1="&amp;CHAR(34)&amp;TEXT(C8,"0.00")&amp;"mm"&amp;CHAR(34)&amp;" y1="&amp;CHAR(34)&amp;TEXT(D8,"0.00")&amp;"mm"&amp;CHAR(34)&amp;" x2="&amp;CHAR(34)&amp;TEXT(E8,"0.00")&amp;"mm"&amp;CHAR(34)&amp;" y2="&amp;CHAR(34)&amp;TEXT(F8,"0.00")&amp;"mm"&amp;CHAR(34)&amp;" stroke="&amp;CHAR(34)&amp;G8&amp;CHAR(34)&amp;" fill="&amp;CHAR(34)&amp;"none"&amp;CHAR(34)&amp;" /&gt;"</x:f>
      </x:c>
      <x:c r="I8" t="str">
        <x:v>Use dynamic values from Dynamic_Lines; all units are mm</x:v>
      </x:c>
    </x:row>
    <x:row r="9">
      <x:c r="A9" t="str">
        <x:v>A8</x:v>
      </x:c>
      <x:c r="B9" t="str">
        <x:v>CUT</x:v>
      </x:c>
      <x:c r="C9" s="22" t="n">
        <x:f>INDEX(Dynamic_Lines!$F:$F,MATCH(A9,Dynamic_Lines!$A:$A,0))</x:f>
        <x:v>306.85</x:v>
      </x:c>
      <x:c r="D9" s="22" t="n">
        <x:f>INDEX(Dynamic_Lines!$G:$G,MATCH(A9,Dynamic_Lines!$A:$A,0))</x:f>
        <x:v>20.35</x:v>
      </x:c>
      <x:c r="E9" s="22" t="n">
        <x:f>INDEX(Dynamic_Lines!$H:$H,MATCH(A9,Dynamic_Lines!$A:$A,0))</x:f>
        <x:v>315.35</x:v>
      </x:c>
      <x:c r="F9" s="22" t="n">
        <x:f>INDEX(Dynamic_Lines!$I:$I,MATCH(A9,Dynamic_Lines!$A:$A,0))</x:f>
        <x:v>20.35</x:v>
      </x:c>
      <x:c r="G9" t="str">
        <x:v>#ED1C24</x:v>
      </x:c>
      <x:c r="H9" t="e">
        <x:f>"&lt;line id="&amp;CHAR(34)&amp;A9&amp;CHAR(34)&amp;" x1="&amp;CHAR(34)&amp;TEXT(C9,"0.00")&amp;"mm"&amp;CHAR(34)&amp;" y1="&amp;CHAR(34)&amp;TEXT(D9,"0.00")&amp;"mm"&amp;CHAR(34)&amp;" x2="&amp;CHAR(34)&amp;TEXT(E9,"0.00")&amp;"mm"&amp;CHAR(34)&amp;" y2="&amp;CHAR(34)&amp;TEXT(F9,"0.00")&amp;"mm"&amp;CHAR(34)&amp;" stroke="&amp;CHAR(34)&amp;G9&amp;CHAR(34)&amp;" fill="&amp;CHAR(34)&amp;"none"&amp;CHAR(34)&amp;" /&gt;"</x:f>
      </x:c>
      <x:c r="I9" t="str">
        <x:v>Use dynamic values from Dynamic_Lines; all units are mm</x:v>
      </x:c>
    </x:row>
    <x:row r="10">
      <x:c r="A10" t="str">
        <x:v>A9</x:v>
      </x:c>
      <x:c r="B10" t="str">
        <x:v>CUT</x:v>
      </x:c>
      <x:c r="C10" s="22" t="n">
        <x:f>INDEX(Dynamic_Lines!$F:$F,MATCH(A10,Dynamic_Lines!$A:$A,0))</x:f>
        <x:v>306.85</x:v>
      </x:c>
      <x:c r="D10" s="22" t="n">
        <x:f>INDEX(Dynamic_Lines!$G:$G,MATCH(A10,Dynamic_Lines!$A:$A,0))</x:f>
        <x:v>22.35</x:v>
      </x:c>
      <x:c r="E10" s="22" t="n">
        <x:f>INDEX(Dynamic_Lines!$H:$H,MATCH(A10,Dynamic_Lines!$A:$A,0))</x:f>
        <x:v>306.85</x:v>
      </x:c>
      <x:c r="F10" s="22" t="n">
        <x:f>INDEX(Dynamic_Lines!$I:$I,MATCH(A10,Dynamic_Lines!$A:$A,0))</x:f>
        <x:v>20.35</x:v>
      </x:c>
      <x:c r="G10" t="str">
        <x:v>#ED1C24</x:v>
      </x:c>
      <x:c r="H10" t="e">
        <x:f>"&lt;line id="&amp;CHAR(34)&amp;A10&amp;CHAR(34)&amp;" x1="&amp;CHAR(34)&amp;TEXT(C10,"0.00")&amp;"mm"&amp;CHAR(34)&amp;" y1="&amp;CHAR(34)&amp;TEXT(D10,"0.00")&amp;"mm"&amp;CHAR(34)&amp;" x2="&amp;CHAR(34)&amp;TEXT(E10,"0.00")&amp;"mm"&amp;CHAR(34)&amp;" y2="&amp;CHAR(34)&amp;TEXT(F10,"0.00")&amp;"mm"&amp;CHAR(34)&amp;" stroke="&amp;CHAR(34)&amp;G10&amp;CHAR(34)&amp;" fill="&amp;CHAR(34)&amp;"none"&amp;CHAR(34)&amp;" /&gt;"</x:f>
      </x:c>
      <x:c r="I10" t="str">
        <x:v>Use dynamic values from Dynamic_Lines; all units are mm</x:v>
      </x:c>
    </x:row>
    <x:row r="11">
      <x:c r="A11" t="str">
        <x:v>A5</x:v>
      </x:c>
      <x:c r="B11" t="str">
        <x:v>CUT</x:v>
      </x:c>
      <x:c r="C11" s="22" t="n">
        <x:f>INDEX(Dynamic_Lines!$F:$F,MATCH(A11,Dynamic_Lines!$A:$A,0))</x:f>
        <x:v>78.35</x:v>
      </x:c>
      <x:c r="D11" s="22" t="n">
        <x:f>INDEX(Dynamic_Lines!$G:$G,MATCH(A11,Dynamic_Lines!$A:$A,0))</x:f>
        <x:v>0.3500000000000014</x:v>
      </x:c>
      <x:c r="E11" s="22" t="n">
        <x:f>INDEX(Dynamic_Lines!$H:$H,MATCH(A11,Dynamic_Lines!$A:$A,0))</x:f>
        <x:v>303.35</x:v>
      </x:c>
      <x:c r="F11" s="22" t="n">
        <x:f>INDEX(Dynamic_Lines!$I:$I,MATCH(A11,Dynamic_Lines!$A:$A,0))</x:f>
        <x:v>0.3500000000000014</x:v>
      </x:c>
      <x:c r="G11" t="str">
        <x:v>#ED1C24</x:v>
      </x:c>
      <x:c r="H11" t="e">
        <x:f>"&lt;line id="&amp;CHAR(34)&amp;A11&amp;CHAR(34)&amp;" x1="&amp;CHAR(34)&amp;TEXT(C11,"0.00")&amp;"mm"&amp;CHAR(34)&amp;" y1="&amp;CHAR(34)&amp;TEXT(D11,"0.00")&amp;"mm"&amp;CHAR(34)&amp;" x2="&amp;CHAR(34)&amp;TEXT(E11,"0.00")&amp;"mm"&amp;CHAR(34)&amp;" y2="&amp;CHAR(34)&amp;TEXT(F11,"0.00")&amp;"mm"&amp;CHAR(34)&amp;" stroke="&amp;CHAR(34)&amp;G11&amp;CHAR(34)&amp;" fill="&amp;CHAR(34)&amp;"none"&amp;CHAR(34)&amp;" /&gt;"</x:f>
      </x:c>
      <x:c r="I11" t="str">
        <x:v>Use dynamic values from Dynamic_Lines; all units are mm</x:v>
      </x:c>
    </x:row>
    <x:row r="12">
      <x:c r="A12" t="str">
        <x:v>C5</x:v>
      </x:c>
      <x:c r="B12" t="str">
        <x:v>CUT</x:v>
      </x:c>
      <x:c r="C12" s="22" t="n">
        <x:f>INDEX(Dynamic_Lines!$F:$F,MATCH(A12,Dynamic_Lines!$A:$A,0))</x:f>
        <x:v>65.85</x:v>
      </x:c>
      <x:c r="D12" s="22" t="n">
        <x:f>INDEX(Dynamic_Lines!$G:$G,MATCH(A12,Dynamic_Lines!$A:$A,0))</x:f>
        <x:v>210.35</x:v>
      </x:c>
      <x:c r="E12" s="22" t="n">
        <x:f>INDEX(Dynamic_Lines!$H:$H,MATCH(A12,Dynamic_Lines!$A:$A,0))</x:f>
        <x:v>62.849999999999994</x:v>
      </x:c>
      <x:c r="F12" s="22" t="n">
        <x:f>INDEX(Dynamic_Lines!$I:$I,MATCH(A12,Dynamic_Lines!$A:$A,0))</x:f>
        <x:v>213.35</x:v>
      </x:c>
      <x:c r="G12" t="str">
        <x:v>#ED1C24</x:v>
      </x:c>
      <x:c r="H12" t="e">
        <x:f>"&lt;line id="&amp;CHAR(34)&amp;A12&amp;CHAR(34)&amp;" x1="&amp;CHAR(34)&amp;TEXT(C12,"0.00")&amp;"mm"&amp;CHAR(34)&amp;" y1="&amp;CHAR(34)&amp;TEXT(D12,"0.00")&amp;"mm"&amp;CHAR(34)&amp;" x2="&amp;CHAR(34)&amp;TEXT(E12,"0.00")&amp;"mm"&amp;CHAR(34)&amp;" y2="&amp;CHAR(34)&amp;TEXT(F12,"0.00")&amp;"mm"&amp;CHAR(34)&amp;" stroke="&amp;CHAR(34)&amp;G12&amp;CHAR(34)&amp;" fill="&amp;CHAR(34)&amp;"none"&amp;CHAR(34)&amp;" /&gt;"</x:f>
      </x:c>
      <x:c r="I12" t="str">
        <x:v>Use dynamic values from Dynamic_Lines; all units are mm</x:v>
      </x:c>
    </x:row>
    <x:row r="13">
      <x:c r="A13" t="str">
        <x:v>C4</x:v>
      </x:c>
      <x:c r="B13" t="str">
        <x:v>CUT</x:v>
      </x:c>
      <x:c r="C13" s="22" t="n">
        <x:f>INDEX(Dynamic_Lines!$F:$F,MATCH(A13,Dynamic_Lines!$A:$A,0))</x:f>
        <x:v>62.849999999999994</x:v>
      </x:c>
      <x:c r="D13" s="22" t="n">
        <x:f>INDEX(Dynamic_Lines!$G:$G,MATCH(A13,Dynamic_Lines!$A:$A,0))</x:f>
        <x:v>213.35</x:v>
      </x:c>
      <x:c r="E13" s="22" t="n">
        <x:f>INDEX(Dynamic_Lines!$H:$H,MATCH(A13,Dynamic_Lines!$A:$A,0))</x:f>
        <x:v>15.849999999999994</x:v>
      </x:c>
      <x:c r="F13" s="22" t="n">
        <x:f>INDEX(Dynamic_Lines!$I:$I,MATCH(A13,Dynamic_Lines!$A:$A,0))</x:f>
        <x:v>213.35</x:v>
      </x:c>
      <x:c r="G13" t="str">
        <x:v>#ED1C24</x:v>
      </x:c>
      <x:c r="H13" t="e">
        <x:f>"&lt;line id="&amp;CHAR(34)&amp;A13&amp;CHAR(34)&amp;" x1="&amp;CHAR(34)&amp;TEXT(C13,"0.00")&amp;"mm"&amp;CHAR(34)&amp;" y1="&amp;CHAR(34)&amp;TEXT(D13,"0.00")&amp;"mm"&amp;CHAR(34)&amp;" x2="&amp;CHAR(34)&amp;TEXT(E13,"0.00")&amp;"mm"&amp;CHAR(34)&amp;" y2="&amp;CHAR(34)&amp;TEXT(F13,"0.00")&amp;"mm"&amp;CHAR(34)&amp;" stroke="&amp;CHAR(34)&amp;G13&amp;CHAR(34)&amp;" fill="&amp;CHAR(34)&amp;"none"&amp;CHAR(34)&amp;" /&gt;"</x:f>
      </x:c>
      <x:c r="I13" t="str">
        <x:v>Use dynamic values from Dynamic_Lines; all units are mm</x:v>
      </x:c>
    </x:row>
    <x:row r="14">
      <x:c r="A14" t="str">
        <x:v>C3</x:v>
      </x:c>
      <x:c r="B14" t="str">
        <x:v>CUT</x:v>
      </x:c>
      <x:c r="C14" s="22" t="n">
        <x:f>INDEX(Dynamic_Lines!$F:$F,MATCH(A14,Dynamic_Lines!$A:$A,0))</x:f>
        <x:v>15.849999999999994</x:v>
      </x:c>
      <x:c r="D14" s="22" t="n">
        <x:f>INDEX(Dynamic_Lines!$G:$G,MATCH(A14,Dynamic_Lines!$A:$A,0))</x:f>
        <x:v>213.35</x:v>
      </x:c>
      <x:c r="E14" s="22" t="n">
        <x:f>INDEX(Dynamic_Lines!$H:$H,MATCH(A14,Dynamic_Lines!$A:$A,0))</x:f>
        <x:v>15.849999999999994</x:v>
      </x:c>
      <x:c r="F14" s="22" t="n">
        <x:f>INDEX(Dynamic_Lines!$I:$I,MATCH(A14,Dynamic_Lines!$A:$A,0))</x:f>
        <x:v>247.35000000000002</x:v>
      </x:c>
      <x:c r="G14" t="str">
        <x:v>#ED1C24</x:v>
      </x:c>
      <x:c r="H14" t="e">
        <x:f>"&lt;line id="&amp;CHAR(34)&amp;A14&amp;CHAR(34)&amp;" x1="&amp;CHAR(34)&amp;TEXT(C14,"0.00")&amp;"mm"&amp;CHAR(34)&amp;" y1="&amp;CHAR(34)&amp;TEXT(D14,"0.00")&amp;"mm"&amp;CHAR(34)&amp;" x2="&amp;CHAR(34)&amp;TEXT(E14,"0.00")&amp;"mm"&amp;CHAR(34)&amp;" y2="&amp;CHAR(34)&amp;TEXT(F14,"0.00")&amp;"mm"&amp;CHAR(34)&amp;" stroke="&amp;CHAR(34)&amp;G14&amp;CHAR(34)&amp;" fill="&amp;CHAR(34)&amp;"none"&amp;CHAR(34)&amp;" /&gt;"</x:f>
      </x:c>
      <x:c r="I14" t="str">
        <x:v>Use dynamic values from Dynamic_Lines; all units are mm</x:v>
      </x:c>
    </x:row>
    <x:row r="15">
      <x:c r="A15" t="str">
        <x:v>C2</x:v>
      </x:c>
      <x:c r="B15" t="str">
        <x:v>CUT</x:v>
      </x:c>
      <x:c r="C15" s="22" t="n">
        <x:f>INDEX(Dynamic_Lines!$F:$F,MATCH(A15,Dynamic_Lines!$A:$A,0))</x:f>
        <x:v>62.849999999999994</x:v>
      </x:c>
      <x:c r="D15" s="22" t="n">
        <x:f>INDEX(Dynamic_Lines!$G:$G,MATCH(A15,Dynamic_Lines!$A:$A,0))</x:f>
        <x:v>257.35</x:v>
      </x:c>
      <x:c r="E15" s="22" t="n">
        <x:f>INDEX(Dynamic_Lines!$H:$H,MATCH(A15,Dynamic_Lines!$A:$A,0))</x:f>
        <x:v>15.849999999999994</x:v>
      </x:c>
      <x:c r="F15" s="22" t="n">
        <x:f>INDEX(Dynamic_Lines!$I:$I,MATCH(A15,Dynamic_Lines!$A:$A,0))</x:f>
        <x:v>247.35000000000002</x:v>
      </x:c>
      <x:c r="G15" t="str">
        <x:v>#ED1C24</x:v>
      </x:c>
      <x:c r="H15" t="e">
        <x:f>"&lt;line id="&amp;CHAR(34)&amp;A15&amp;CHAR(34)&amp;" x1="&amp;CHAR(34)&amp;TEXT(C15,"0.00")&amp;"mm"&amp;CHAR(34)&amp;" y1="&amp;CHAR(34)&amp;TEXT(D15,"0.00")&amp;"mm"&amp;CHAR(34)&amp;" x2="&amp;CHAR(34)&amp;TEXT(E15,"0.00")&amp;"mm"&amp;CHAR(34)&amp;" y2="&amp;CHAR(34)&amp;TEXT(F15,"0.00")&amp;"mm"&amp;CHAR(34)&amp;" stroke="&amp;CHAR(34)&amp;G15&amp;CHAR(34)&amp;" fill="&amp;CHAR(34)&amp;"none"&amp;CHAR(34)&amp;" /&gt;"</x:f>
      </x:c>
      <x:c r="I15" t="str">
        <x:v>Use dynamic values from Dynamic_Lines; all units are mm</x:v>
      </x:c>
    </x:row>
    <x:row r="16">
      <x:c r="A16" t="str">
        <x:v>C1</x:v>
      </x:c>
      <x:c r="B16" t="str">
        <x:v>CUT</x:v>
      </x:c>
      <x:c r="C16" s="22" t="n">
        <x:f>INDEX(Dynamic_Lines!$F:$F,MATCH(A16,Dynamic_Lines!$A:$A,0))</x:f>
        <x:v>65.85</x:v>
      </x:c>
      <x:c r="D16" s="22" t="n">
        <x:f>INDEX(Dynamic_Lines!$G:$G,MATCH(A16,Dynamic_Lines!$A:$A,0))</x:f>
        <x:v>260.35</x:v>
      </x:c>
      <x:c r="E16" s="22" t="n">
        <x:f>INDEX(Dynamic_Lines!$H:$H,MATCH(A16,Dynamic_Lines!$A:$A,0))</x:f>
        <x:v>62.849999999999994</x:v>
      </x:c>
      <x:c r="F16" s="22" t="n">
        <x:f>INDEX(Dynamic_Lines!$I:$I,MATCH(A16,Dynamic_Lines!$A:$A,0))</x:f>
        <x:v>257.35</x:v>
      </x:c>
      <x:c r="G16" t="str">
        <x:v>#ED1C24</x:v>
      </x:c>
      <x:c r="H16" t="e">
        <x:f>"&lt;line id="&amp;CHAR(34)&amp;A16&amp;CHAR(34)&amp;" x1="&amp;CHAR(34)&amp;TEXT(C16,"0.00")&amp;"mm"&amp;CHAR(34)&amp;" y1="&amp;CHAR(34)&amp;TEXT(D16,"0.00")&amp;"mm"&amp;CHAR(34)&amp;" x2="&amp;CHAR(34)&amp;TEXT(E16,"0.00")&amp;"mm"&amp;CHAR(34)&amp;" y2="&amp;CHAR(34)&amp;TEXT(F16,"0.00")&amp;"mm"&amp;CHAR(34)&amp;" stroke="&amp;CHAR(34)&amp;G16&amp;CHAR(34)&amp;" fill="&amp;CHAR(34)&amp;"none"&amp;CHAR(34)&amp;" /&gt;"</x:f>
      </x:c>
      <x:c r="I16" t="str">
        <x:v>Use dynamic values from Dynamic_Lines; all units are mm</x:v>
      </x:c>
    </x:row>
    <x:row r="17">
      <x:c r="A17" t="str">
        <x:v>D5</x:v>
      </x:c>
      <x:c r="B17" t="str">
        <x:v>CUT</x:v>
      </x:c>
      <x:c r="C17" s="22" t="n">
        <x:f>INDEX(Dynamic_Lines!$F:$F,MATCH(A17,Dynamic_Lines!$A:$A,0))</x:f>
        <x:v>315.85</x:v>
      </x:c>
      <x:c r="D17" s="22" t="n">
        <x:f>INDEX(Dynamic_Lines!$G:$G,MATCH(A17,Dynamic_Lines!$A:$A,0))</x:f>
        <x:v>210.35</x:v>
      </x:c>
      <x:c r="E17" s="22" t="n">
        <x:f>INDEX(Dynamic_Lines!$H:$H,MATCH(A17,Dynamic_Lines!$A:$A,0))</x:f>
        <x:v>318.85</x:v>
      </x:c>
      <x:c r="F17" s="22" t="n">
        <x:f>INDEX(Dynamic_Lines!$I:$I,MATCH(A17,Dynamic_Lines!$A:$A,0))</x:f>
        <x:v>213.35</x:v>
      </x:c>
      <x:c r="G17" t="str">
        <x:v>#ED1C24</x:v>
      </x:c>
      <x:c r="H17" t="e">
        <x:f>"&lt;line id="&amp;CHAR(34)&amp;A17&amp;CHAR(34)&amp;" x1="&amp;CHAR(34)&amp;TEXT(C17,"0.00")&amp;"mm"&amp;CHAR(34)&amp;" y1="&amp;CHAR(34)&amp;TEXT(D17,"0.00")&amp;"mm"&amp;CHAR(34)&amp;" x2="&amp;CHAR(34)&amp;TEXT(E17,"0.00")&amp;"mm"&amp;CHAR(34)&amp;" y2="&amp;CHAR(34)&amp;TEXT(F17,"0.00")&amp;"mm"&amp;CHAR(34)&amp;" stroke="&amp;CHAR(34)&amp;G17&amp;CHAR(34)&amp;" fill="&amp;CHAR(34)&amp;"none"&amp;CHAR(34)&amp;" /&gt;"</x:f>
      </x:c>
      <x:c r="I17" t="str">
        <x:v>Use dynamic values from Dynamic_Lines; all units are mm</x:v>
      </x:c>
    </x:row>
    <x:row r="18">
      <x:c r="A18" t="str">
        <x:v>D4</x:v>
      </x:c>
      <x:c r="B18" t="str">
        <x:v>CUT</x:v>
      </x:c>
      <x:c r="C18" s="22" t="n">
        <x:f>INDEX(Dynamic_Lines!$F:$F,MATCH(A18,Dynamic_Lines!$A:$A,0))</x:f>
        <x:v>318.85</x:v>
      </x:c>
      <x:c r="D18" s="22" t="n">
        <x:f>INDEX(Dynamic_Lines!$G:$G,MATCH(A18,Dynamic_Lines!$A:$A,0))</x:f>
        <x:v>213.35</x:v>
      </x:c>
      <x:c r="E18" s="22" t="n">
        <x:f>INDEX(Dynamic_Lines!$H:$H,MATCH(A18,Dynamic_Lines!$A:$A,0))</x:f>
        <x:v>365.85</x:v>
      </x:c>
      <x:c r="F18" s="22" t="n">
        <x:f>INDEX(Dynamic_Lines!$I:$I,MATCH(A18,Dynamic_Lines!$A:$A,0))</x:f>
        <x:v>213.35</x:v>
      </x:c>
      <x:c r="G18" t="str">
        <x:v>#ED1C24</x:v>
      </x:c>
      <x:c r="H18" t="e">
        <x:f>"&lt;line id="&amp;CHAR(34)&amp;A18&amp;CHAR(34)&amp;" x1="&amp;CHAR(34)&amp;TEXT(C18,"0.00")&amp;"mm"&amp;CHAR(34)&amp;" y1="&amp;CHAR(34)&amp;TEXT(D18,"0.00")&amp;"mm"&amp;CHAR(34)&amp;" x2="&amp;CHAR(34)&amp;TEXT(E18,"0.00")&amp;"mm"&amp;CHAR(34)&amp;" y2="&amp;CHAR(34)&amp;TEXT(F18,"0.00")&amp;"mm"&amp;CHAR(34)&amp;" stroke="&amp;CHAR(34)&amp;G18&amp;CHAR(34)&amp;" fill="&amp;CHAR(34)&amp;"none"&amp;CHAR(34)&amp;" /&gt;"</x:f>
      </x:c>
      <x:c r="I18" t="str">
        <x:v>Use dynamic values from Dynamic_Lines; all units are mm</x:v>
      </x:c>
    </x:row>
    <x:row r="19">
      <x:c r="A19" t="str">
        <x:v>D3</x:v>
      </x:c>
      <x:c r="B19" t="str">
        <x:v>CUT</x:v>
      </x:c>
      <x:c r="C19" s="22" t="n">
        <x:f>INDEX(Dynamic_Lines!$F:$F,MATCH(A19,Dynamic_Lines!$A:$A,0))</x:f>
        <x:v>365.85</x:v>
      </x:c>
      <x:c r="D19" s="22" t="n">
        <x:f>INDEX(Dynamic_Lines!$G:$G,MATCH(A19,Dynamic_Lines!$A:$A,0))</x:f>
        <x:v>213.35</x:v>
      </x:c>
      <x:c r="E19" s="22" t="n">
        <x:f>INDEX(Dynamic_Lines!$H:$H,MATCH(A19,Dynamic_Lines!$A:$A,0))</x:f>
        <x:v>365.85</x:v>
      </x:c>
      <x:c r="F19" s="22" t="n">
        <x:f>INDEX(Dynamic_Lines!$I:$I,MATCH(A19,Dynamic_Lines!$A:$A,0))</x:f>
        <x:v>247.35000000000002</x:v>
      </x:c>
      <x:c r="G19" t="str">
        <x:v>#ED1C24</x:v>
      </x:c>
      <x:c r="H19" t="e">
        <x:f>"&lt;line id="&amp;CHAR(34)&amp;A19&amp;CHAR(34)&amp;" x1="&amp;CHAR(34)&amp;TEXT(C19,"0.00")&amp;"mm"&amp;CHAR(34)&amp;" y1="&amp;CHAR(34)&amp;TEXT(D19,"0.00")&amp;"mm"&amp;CHAR(34)&amp;" x2="&amp;CHAR(34)&amp;TEXT(E19,"0.00")&amp;"mm"&amp;CHAR(34)&amp;" y2="&amp;CHAR(34)&amp;TEXT(F19,"0.00")&amp;"mm"&amp;CHAR(34)&amp;" stroke="&amp;CHAR(34)&amp;G19&amp;CHAR(34)&amp;" fill="&amp;CHAR(34)&amp;"none"&amp;CHAR(34)&amp;" /&gt;"</x:f>
      </x:c>
      <x:c r="I19" t="str">
        <x:v>Use dynamic values from Dynamic_Lines; all units are mm</x:v>
      </x:c>
    </x:row>
    <x:row r="20">
      <x:c r="A20" t="str">
        <x:v>D2</x:v>
      </x:c>
      <x:c r="B20" t="str">
        <x:v>CUT</x:v>
      </x:c>
      <x:c r="C20" s="22" t="n">
        <x:f>INDEX(Dynamic_Lines!$F:$F,MATCH(A20,Dynamic_Lines!$A:$A,0))</x:f>
        <x:v>318.85</x:v>
      </x:c>
      <x:c r="D20" s="22" t="n">
        <x:f>INDEX(Dynamic_Lines!$G:$G,MATCH(A20,Dynamic_Lines!$A:$A,0))</x:f>
        <x:v>257.35</x:v>
      </x:c>
      <x:c r="E20" s="22" t="n">
        <x:f>INDEX(Dynamic_Lines!$H:$H,MATCH(A20,Dynamic_Lines!$A:$A,0))</x:f>
        <x:v>365.85</x:v>
      </x:c>
      <x:c r="F20" s="22" t="n">
        <x:f>INDEX(Dynamic_Lines!$I:$I,MATCH(A20,Dynamic_Lines!$A:$A,0))</x:f>
        <x:v>247.35000000000002</x:v>
      </x:c>
      <x:c r="G20" t="str">
        <x:v>#ED1C24</x:v>
      </x:c>
      <x:c r="H20" t="e">
        <x:f>"&lt;line id="&amp;CHAR(34)&amp;A20&amp;CHAR(34)&amp;" x1="&amp;CHAR(34)&amp;TEXT(C20,"0.00")&amp;"mm"&amp;CHAR(34)&amp;" y1="&amp;CHAR(34)&amp;TEXT(D20,"0.00")&amp;"mm"&amp;CHAR(34)&amp;" x2="&amp;CHAR(34)&amp;TEXT(E20,"0.00")&amp;"mm"&amp;CHAR(34)&amp;" y2="&amp;CHAR(34)&amp;TEXT(F20,"0.00")&amp;"mm"&amp;CHAR(34)&amp;" stroke="&amp;CHAR(34)&amp;G20&amp;CHAR(34)&amp;" fill="&amp;CHAR(34)&amp;"none"&amp;CHAR(34)&amp;" /&gt;"</x:f>
      </x:c>
      <x:c r="I20" t="str">
        <x:v>Use dynamic values from Dynamic_Lines; all units are mm</x:v>
      </x:c>
    </x:row>
    <x:row r="21">
      <x:c r="A21" t="str">
        <x:v>D1</x:v>
      </x:c>
      <x:c r="B21" t="str">
        <x:v>CUT</x:v>
      </x:c>
      <x:c r="C21" s="22" t="n">
        <x:f>INDEX(Dynamic_Lines!$F:$F,MATCH(A21,Dynamic_Lines!$A:$A,0))</x:f>
        <x:v>315.85</x:v>
      </x:c>
      <x:c r="D21" s="22" t="n">
        <x:f>INDEX(Dynamic_Lines!$G:$G,MATCH(A21,Dynamic_Lines!$A:$A,0))</x:f>
        <x:v>260.35</x:v>
      </x:c>
      <x:c r="E21" s="22" t="n">
        <x:f>INDEX(Dynamic_Lines!$H:$H,MATCH(A21,Dynamic_Lines!$A:$A,0))</x:f>
        <x:v>318.85</x:v>
      </x:c>
      <x:c r="F21" s="22" t="n">
        <x:f>INDEX(Dynamic_Lines!$I:$I,MATCH(A21,Dynamic_Lines!$A:$A,0))</x:f>
        <x:v>257.35</x:v>
      </x:c>
      <x:c r="G21" t="str">
        <x:v>#ED1C24</x:v>
      </x:c>
      <x:c r="H21" t="e">
        <x:f>"&lt;line id="&amp;CHAR(34)&amp;A21&amp;CHAR(34)&amp;" x1="&amp;CHAR(34)&amp;TEXT(C21,"0.00")&amp;"mm"&amp;CHAR(34)&amp;" y1="&amp;CHAR(34)&amp;TEXT(D21,"0.00")&amp;"mm"&amp;CHAR(34)&amp;" x2="&amp;CHAR(34)&amp;TEXT(E21,"0.00")&amp;"mm"&amp;CHAR(34)&amp;" y2="&amp;CHAR(34)&amp;TEXT(F21,"0.00")&amp;"mm"&amp;CHAR(34)&amp;" stroke="&amp;CHAR(34)&amp;G21&amp;CHAR(34)&amp;" fill="&amp;CHAR(34)&amp;"none"&amp;CHAR(34)&amp;" /&gt;"</x:f>
      </x:c>
      <x:c r="I21" t="str">
        <x:v>Use dynamic values from Dynamic_Lines; all units are mm</x:v>
      </x:c>
    </x:row>
    <x:row r="22">
      <x:c r="A22" t="str">
        <x:v>J4</x:v>
      </x:c>
      <x:c r="B22" t="str">
        <x:v>CUT</x:v>
      </x:c>
      <x:c r="C22" s="22" t="n">
        <x:f>INDEX(Dynamic_Lines!$F:$F,MATCH(A22,Dynamic_Lines!$A:$A,0))</x:f>
        <x:v>315.85</x:v>
      </x:c>
      <x:c r="D22" s="22" t="n">
        <x:f>INDEX(Dynamic_Lines!$G:$G,MATCH(A22,Dynamic_Lines!$A:$A,0))</x:f>
        <x:v>260.35</x:v>
      </x:c>
      <x:c r="E22" s="22" t="n">
        <x:f>INDEX(Dynamic_Lines!$H:$H,MATCH(A22,Dynamic_Lines!$A:$A,0))</x:f>
        <x:v>316.85</x:v>
      </x:c>
      <x:c r="F22" s="22" t="n">
        <x:f>INDEX(Dynamic_Lines!$I:$I,MATCH(A22,Dynamic_Lines!$A:$A,0))</x:f>
        <x:v>261.35</x:v>
      </x:c>
      <x:c r="G22" t="str">
        <x:v>#ED1C24</x:v>
      </x:c>
      <x:c r="H22" t="e">
        <x:f>"&lt;line id="&amp;CHAR(34)&amp;A22&amp;CHAR(34)&amp;" x1="&amp;CHAR(34)&amp;TEXT(C22,"0.00")&amp;"mm"&amp;CHAR(34)&amp;" y1="&amp;CHAR(34)&amp;TEXT(D22,"0.00")&amp;"mm"&amp;CHAR(34)&amp;" x2="&amp;CHAR(34)&amp;TEXT(E22,"0.00")&amp;"mm"&amp;CHAR(34)&amp;" y2="&amp;CHAR(34)&amp;TEXT(F22,"0.00")&amp;"mm"&amp;CHAR(34)&amp;" stroke="&amp;CHAR(34)&amp;G22&amp;CHAR(34)&amp;" fill="&amp;CHAR(34)&amp;"none"&amp;CHAR(34)&amp;" /&gt;"</x:f>
      </x:c>
      <x:c r="I22" t="str">
        <x:v>Use dynamic values from Dynamic_Lines; all units are mm</x:v>
      </x:c>
    </x:row>
    <x:row r="23">
      <x:c r="A23" t="str">
        <x:v>J3</x:v>
      </x:c>
      <x:c r="B23" t="str">
        <x:v>CUT</x:v>
      </x:c>
      <x:c r="C23" s="22" t="n">
        <x:f>INDEX(Dynamic_Lines!$F:$F,MATCH(A23,Dynamic_Lines!$A:$A,0))</x:f>
        <x:v>316.85</x:v>
      </x:c>
      <x:c r="D23" s="22" t="n">
        <x:f>INDEX(Dynamic_Lines!$G:$G,MATCH(A23,Dynamic_Lines!$A:$A,0))</x:f>
        <x:v>261.35</x:v>
      </x:c>
      <x:c r="E23" s="22" t="n">
        <x:f>INDEX(Dynamic_Lines!$H:$H,MATCH(A23,Dynamic_Lines!$A:$A,0))</x:f>
        <x:v>365.85</x:v>
      </x:c>
      <x:c r="F23" s="22" t="n">
        <x:f>INDEX(Dynamic_Lines!$I:$I,MATCH(A23,Dynamic_Lines!$A:$A,0))</x:f>
        <x:v>261.35</x:v>
      </x:c>
      <x:c r="G23" t="str">
        <x:v>#ED1C24</x:v>
      </x:c>
      <x:c r="H23" t="e">
        <x:f>"&lt;line id="&amp;CHAR(34)&amp;A23&amp;CHAR(34)&amp;" x1="&amp;CHAR(34)&amp;TEXT(C23,"0.00")&amp;"mm"&amp;CHAR(34)&amp;" y1="&amp;CHAR(34)&amp;TEXT(D23,"0.00")&amp;"mm"&amp;CHAR(34)&amp;" x2="&amp;CHAR(34)&amp;TEXT(E23,"0.00")&amp;"mm"&amp;CHAR(34)&amp;" y2="&amp;CHAR(34)&amp;TEXT(F23,"0.00")&amp;"mm"&amp;CHAR(34)&amp;" stroke="&amp;CHAR(34)&amp;G23&amp;CHAR(34)&amp;" fill="&amp;CHAR(34)&amp;"none"&amp;CHAR(34)&amp;" /&gt;"</x:f>
      </x:c>
      <x:c r="I23" t="str">
        <x:v>Use dynamic values from Dynamic_Lines; all units are mm</x:v>
      </x:c>
    </x:row>
    <x:row r="24">
      <x:c r="A24" t="str">
        <x:v>J2</x:v>
      </x:c>
      <x:c r="B24" t="str">
        <x:v>CUT</x:v>
      </x:c>
      <x:c r="C24" s="22" t="n">
        <x:f>INDEX(Dynamic_Lines!$F:$F,MATCH(A24,Dynamic_Lines!$A:$A,0))</x:f>
        <x:v>316.85</x:v>
      </x:c>
      <x:c r="D24" s="22" t="n">
        <x:f>INDEX(Dynamic_Lines!$G:$G,MATCH(A24,Dynamic_Lines!$A:$A,0))</x:f>
        <x:v>449.35</x:v>
      </x:c>
      <x:c r="E24" s="22" t="n">
        <x:f>INDEX(Dynamic_Lines!$H:$H,MATCH(A24,Dynamic_Lines!$A:$A,0))</x:f>
        <x:v>365.85</x:v>
      </x:c>
      <x:c r="F24" s="22" t="n">
        <x:f>INDEX(Dynamic_Lines!$I:$I,MATCH(A24,Dynamic_Lines!$A:$A,0))</x:f>
        <x:v>449.35</x:v>
      </x:c>
      <x:c r="G24" t="str">
        <x:v>#ED1C24</x:v>
      </x:c>
      <x:c r="H24" t="e">
        <x:f>"&lt;line id="&amp;CHAR(34)&amp;A24&amp;CHAR(34)&amp;" x1="&amp;CHAR(34)&amp;TEXT(C24,"0.00")&amp;"mm"&amp;CHAR(34)&amp;" y1="&amp;CHAR(34)&amp;TEXT(D24,"0.00")&amp;"mm"&amp;CHAR(34)&amp;" x2="&amp;CHAR(34)&amp;TEXT(E24,"0.00")&amp;"mm"&amp;CHAR(34)&amp;" y2="&amp;CHAR(34)&amp;TEXT(F24,"0.00")&amp;"mm"&amp;CHAR(34)&amp;" stroke="&amp;CHAR(34)&amp;G24&amp;CHAR(34)&amp;" fill="&amp;CHAR(34)&amp;"none"&amp;CHAR(34)&amp;" /&gt;"</x:f>
      </x:c>
      <x:c r="I24" t="str">
        <x:v>Use dynamic values from Dynamic_Lines; all units are mm</x:v>
      </x:c>
    </x:row>
    <x:row r="25">
      <x:c r="A25" t="str">
        <x:v>J1</x:v>
      </x:c>
      <x:c r="B25" t="str">
        <x:v>CUT</x:v>
      </x:c>
      <x:c r="C25" s="22" t="n">
        <x:f>INDEX(Dynamic_Lines!$F:$F,MATCH(A25,Dynamic_Lines!$A:$A,0))</x:f>
        <x:v>315.85</x:v>
      </x:c>
      <x:c r="D25" s="22" t="n">
        <x:f>INDEX(Dynamic_Lines!$G:$G,MATCH(A25,Dynamic_Lines!$A:$A,0))</x:f>
        <x:v>450.35</x:v>
      </x:c>
      <x:c r="E25" s="22" t="n">
        <x:f>INDEX(Dynamic_Lines!$H:$H,MATCH(A25,Dynamic_Lines!$A:$A,0))</x:f>
        <x:v>316.85</x:v>
      </x:c>
      <x:c r="F25" s="22" t="n">
        <x:f>INDEX(Dynamic_Lines!$I:$I,MATCH(A25,Dynamic_Lines!$A:$A,0))</x:f>
        <x:v>449.35</x:v>
      </x:c>
      <x:c r="G25" t="str">
        <x:v>#ED1C24</x:v>
      </x:c>
      <x:c r="H25" t="e">
        <x:f>"&lt;line id="&amp;CHAR(34)&amp;A25&amp;CHAR(34)&amp;" x1="&amp;CHAR(34)&amp;TEXT(C25,"0.00")&amp;"mm"&amp;CHAR(34)&amp;" y1="&amp;CHAR(34)&amp;TEXT(D25,"0.00")&amp;"mm"&amp;CHAR(34)&amp;" x2="&amp;CHAR(34)&amp;TEXT(E25,"0.00")&amp;"mm"&amp;CHAR(34)&amp;" y2="&amp;CHAR(34)&amp;TEXT(F25,"0.00")&amp;"mm"&amp;CHAR(34)&amp;" stroke="&amp;CHAR(34)&amp;G25&amp;CHAR(34)&amp;" fill="&amp;CHAR(34)&amp;"none"&amp;CHAR(34)&amp;" /&gt;"</x:f>
      </x:c>
      <x:c r="I25" t="str">
        <x:v>Use dynamic values from Dynamic_Lines; all units are mm</x:v>
      </x:c>
    </x:row>
    <x:row r="26">
      <x:c r="A26" t="str">
        <x:v>I4</x:v>
      </x:c>
      <x:c r="B26" t="str">
        <x:v>CUT</x:v>
      </x:c>
      <x:c r="C26" s="22" t="n">
        <x:f>INDEX(Dynamic_Lines!$F:$F,MATCH(A26,Dynamic_Lines!$A:$A,0))</x:f>
        <x:v>381.35</x:v>
      </x:c>
      <x:c r="D26" s="22" t="n">
        <x:f>INDEX(Dynamic_Lines!$G:$G,MATCH(A26,Dynamic_Lines!$A:$A,0))</x:f>
        <x:v>264.97</x:v>
      </x:c>
      <x:c r="E26" s="22" t="n">
        <x:f>INDEX(Dynamic_Lines!$H:$H,MATCH(A26,Dynamic_Lines!$A:$A,0))</x:f>
        <x:v>365.85</x:v>
      </x:c>
      <x:c r="F26" s="22" t="n">
        <x:f>INDEX(Dynamic_Lines!$I:$I,MATCH(A26,Dynamic_Lines!$A:$A,0))</x:f>
        <x:v>261.35</x:v>
      </x:c>
      <x:c r="G26" t="str">
        <x:v>#ED1C24</x:v>
      </x:c>
      <x:c r="H26" t="e">
        <x:f>"&lt;line id="&amp;CHAR(34)&amp;A26&amp;CHAR(34)&amp;" x1="&amp;CHAR(34)&amp;TEXT(C26,"0.00")&amp;"mm"&amp;CHAR(34)&amp;" y1="&amp;CHAR(34)&amp;TEXT(D26,"0.00")&amp;"mm"&amp;CHAR(34)&amp;" x2="&amp;CHAR(34)&amp;TEXT(E26,"0.00")&amp;"mm"&amp;CHAR(34)&amp;" y2="&amp;CHAR(34)&amp;TEXT(F26,"0.00")&amp;"mm"&amp;CHAR(34)&amp;" stroke="&amp;CHAR(34)&amp;G26&amp;CHAR(34)&amp;" fill="&amp;CHAR(34)&amp;"none"&amp;CHAR(34)&amp;" /&gt;"</x:f>
      </x:c>
      <x:c r="I26" t="str">
        <x:v>Use dynamic values from Dynamic_Lines; all units are mm</x:v>
      </x:c>
    </x:row>
    <x:row r="27">
      <x:c r="A27" t="str">
        <x:v>I3</x:v>
      </x:c>
      <x:c r="B27" t="str">
        <x:v>CUT</x:v>
      </x:c>
      <x:c r="C27" s="22" t="n">
        <x:f>INDEX(Dynamic_Lines!$F:$F,MATCH(A27,Dynamic_Lines!$A:$A,0))</x:f>
        <x:v>381.35</x:v>
      </x:c>
      <x:c r="D27" s="22" t="n">
        <x:f>INDEX(Dynamic_Lines!$G:$G,MATCH(A27,Dynamic_Lines!$A:$A,0))</x:f>
        <x:v>445.73</x:v>
      </x:c>
      <x:c r="E27" s="22" t="n">
        <x:f>INDEX(Dynamic_Lines!$H:$H,MATCH(A27,Dynamic_Lines!$A:$A,0))</x:f>
        <x:v>381.35</x:v>
      </x:c>
      <x:c r="F27" s="22" t="n">
        <x:f>INDEX(Dynamic_Lines!$I:$I,MATCH(A27,Dynamic_Lines!$A:$A,0))</x:f>
        <x:v>264.97</x:v>
      </x:c>
      <x:c r="G27" t="str">
        <x:v>#ED1C24</x:v>
      </x:c>
      <x:c r="H27" t="e">
        <x:f>"&lt;line id="&amp;CHAR(34)&amp;A27&amp;CHAR(34)&amp;" x1="&amp;CHAR(34)&amp;TEXT(C27,"0.00")&amp;"mm"&amp;CHAR(34)&amp;" y1="&amp;CHAR(34)&amp;TEXT(D27,"0.00")&amp;"mm"&amp;CHAR(34)&amp;" x2="&amp;CHAR(34)&amp;TEXT(E27,"0.00")&amp;"mm"&amp;CHAR(34)&amp;" y2="&amp;CHAR(34)&amp;TEXT(F27,"0.00")&amp;"mm"&amp;CHAR(34)&amp;" stroke="&amp;CHAR(34)&amp;G27&amp;CHAR(34)&amp;" fill="&amp;CHAR(34)&amp;"none"&amp;CHAR(34)&amp;" /&gt;"</x:f>
      </x:c>
      <x:c r="I27" t="str">
        <x:v>Use dynamic values from Dynamic_Lines; all units are mm</x:v>
      </x:c>
    </x:row>
    <x:row r="28">
      <x:c r="A28" t="str">
        <x:v>I2</x:v>
      </x:c>
      <x:c r="B28" t="str">
        <x:v>CUT</x:v>
      </x:c>
      <x:c r="C28" s="22" t="n">
        <x:f>INDEX(Dynamic_Lines!$F:$F,MATCH(A28,Dynamic_Lines!$A:$A,0))</x:f>
        <x:v>371.85</x:v>
      </x:c>
      <x:c r="D28" s="22" t="n">
        <x:f>INDEX(Dynamic_Lines!$G:$G,MATCH(A28,Dynamic_Lines!$A:$A,0))</x:f>
        <x:v>449.35</x:v>
      </x:c>
      <x:c r="E28" s="22" t="n">
        <x:f>INDEX(Dynamic_Lines!$H:$H,MATCH(A28,Dynamic_Lines!$A:$A,0))</x:f>
        <x:v>381.35</x:v>
      </x:c>
      <x:c r="F28" s="22" t="n">
        <x:f>INDEX(Dynamic_Lines!$I:$I,MATCH(A28,Dynamic_Lines!$A:$A,0))</x:f>
        <x:v>445.73</x:v>
      </x:c>
      <x:c r="G28" t="str">
        <x:v>#ED1C24</x:v>
      </x:c>
      <x:c r="H28" t="e">
        <x:f>"&lt;line id="&amp;CHAR(34)&amp;A28&amp;CHAR(34)&amp;" x1="&amp;CHAR(34)&amp;TEXT(C28,"0.00")&amp;"mm"&amp;CHAR(34)&amp;" y1="&amp;CHAR(34)&amp;TEXT(D28,"0.00")&amp;"mm"&amp;CHAR(34)&amp;" x2="&amp;CHAR(34)&amp;TEXT(E28,"0.00")&amp;"mm"&amp;CHAR(34)&amp;" y2="&amp;CHAR(34)&amp;TEXT(F28,"0.00")&amp;"mm"&amp;CHAR(34)&amp;" stroke="&amp;CHAR(34)&amp;G28&amp;CHAR(34)&amp;" fill="&amp;CHAR(34)&amp;"none"&amp;CHAR(34)&amp;" /&gt;"</x:f>
      </x:c>
      <x:c r="I28" t="str">
        <x:v>Use dynamic values from Dynamic_Lines; all units are mm</x:v>
      </x:c>
    </x:row>
    <x:row r="29">
      <x:c r="A29" t="str">
        <x:v>I1</x:v>
      </x:c>
      <x:c r="B29" t="str">
        <x:v>CUT</x:v>
      </x:c>
      <x:c r="C29" s="22" t="n">
        <x:f>INDEX(Dynamic_Lines!$F:$F,MATCH(A29,Dynamic_Lines!$A:$A,0))</x:f>
        <x:v>365.85</x:v>
      </x:c>
      <x:c r="D29" s="22" t="n">
        <x:f>INDEX(Dynamic_Lines!$G:$G,MATCH(A29,Dynamic_Lines!$A:$A,0))</x:f>
        <x:v>449.35</x:v>
      </x:c>
      <x:c r="E29" s="22" t="n">
        <x:f>INDEX(Dynamic_Lines!$H:$H,MATCH(A29,Dynamic_Lines!$A:$A,0))</x:f>
        <x:v>371.85</x:v>
      </x:c>
      <x:c r="F29" s="22" t="n">
        <x:f>INDEX(Dynamic_Lines!$I:$I,MATCH(A29,Dynamic_Lines!$A:$A,0))</x:f>
        <x:v>449.35</x:v>
      </x:c>
      <x:c r="G29" t="str">
        <x:v>#ED1C24</x:v>
      </x:c>
      <x:c r="H29" t="e">
        <x:f>"&lt;line id="&amp;CHAR(34)&amp;A29&amp;CHAR(34)&amp;" x1="&amp;CHAR(34)&amp;TEXT(C29,"0.00")&amp;"mm"&amp;CHAR(34)&amp;" y1="&amp;CHAR(34)&amp;TEXT(D29,"0.00")&amp;"mm"&amp;CHAR(34)&amp;" x2="&amp;CHAR(34)&amp;TEXT(E29,"0.00")&amp;"mm"&amp;CHAR(34)&amp;" y2="&amp;CHAR(34)&amp;TEXT(F29,"0.00")&amp;"mm"&amp;CHAR(34)&amp;" stroke="&amp;CHAR(34)&amp;G29&amp;CHAR(34)&amp;" fill="&amp;CHAR(34)&amp;"none"&amp;CHAR(34)&amp;" /&gt;"</x:f>
      </x:c>
      <x:c r="I29" t="str">
        <x:v>Use dynamic values from Dynamic_Lines; all units are mm</x:v>
      </x:c>
    </x:row>
    <x:row r="30">
      <x:c r="A30" t="str">
        <x:v>H4</x:v>
      </x:c>
      <x:c r="B30" t="str">
        <x:v>CUT</x:v>
      </x:c>
      <x:c r="C30" s="22" t="n">
        <x:f>INDEX(Dynamic_Lines!$F:$F,MATCH(A30,Dynamic_Lines!$A:$A,0))</x:f>
        <x:v>65.85</x:v>
      </x:c>
      <x:c r="D30" s="22" t="n">
        <x:f>INDEX(Dynamic_Lines!$G:$G,MATCH(A30,Dynamic_Lines!$A:$A,0))</x:f>
        <x:v>260.35</x:v>
      </x:c>
      <x:c r="E30" s="22" t="n">
        <x:f>INDEX(Dynamic_Lines!$H:$H,MATCH(A30,Dynamic_Lines!$A:$A,0))</x:f>
        <x:v>64.85</x:v>
      </x:c>
      <x:c r="F30" s="22" t="n">
        <x:f>INDEX(Dynamic_Lines!$I:$I,MATCH(A30,Dynamic_Lines!$A:$A,0))</x:f>
        <x:v>261.35</x:v>
      </x:c>
      <x:c r="G30" t="str">
        <x:v>#ED1C24</x:v>
      </x:c>
      <x:c r="H30" t="e">
        <x:f>"&lt;line id="&amp;CHAR(34)&amp;A30&amp;CHAR(34)&amp;" x1="&amp;CHAR(34)&amp;TEXT(C30,"0.00")&amp;"mm"&amp;CHAR(34)&amp;" y1="&amp;CHAR(34)&amp;TEXT(D30,"0.00")&amp;"mm"&amp;CHAR(34)&amp;" x2="&amp;CHAR(34)&amp;TEXT(E30,"0.00")&amp;"mm"&amp;CHAR(34)&amp;" y2="&amp;CHAR(34)&amp;TEXT(F30,"0.00")&amp;"mm"&amp;CHAR(34)&amp;" stroke="&amp;CHAR(34)&amp;G30&amp;CHAR(34)&amp;" fill="&amp;CHAR(34)&amp;"none"&amp;CHAR(34)&amp;" /&gt;"</x:f>
      </x:c>
      <x:c r="I30" t="str">
        <x:v>Use dynamic values from Dynamic_Lines; all units are mm</x:v>
      </x:c>
    </x:row>
    <x:row r="31">
      <x:c r="A31" t="str">
        <x:v>H3</x:v>
      </x:c>
      <x:c r="B31" t="str">
        <x:v>CUT</x:v>
      </x:c>
      <x:c r="C31" s="22" t="n">
        <x:f>INDEX(Dynamic_Lines!$F:$F,MATCH(A31,Dynamic_Lines!$A:$A,0))</x:f>
        <x:v>64.85</x:v>
      </x:c>
      <x:c r="D31" s="22" t="n">
        <x:f>INDEX(Dynamic_Lines!$G:$G,MATCH(A31,Dynamic_Lines!$A:$A,0))</x:f>
        <x:v>261.35</x:v>
      </x:c>
      <x:c r="E31" s="22" t="n">
        <x:f>INDEX(Dynamic_Lines!$H:$H,MATCH(A31,Dynamic_Lines!$A:$A,0))</x:f>
        <x:v>15.849999999999994</x:v>
      </x:c>
      <x:c r="F31" s="22" t="n">
        <x:f>INDEX(Dynamic_Lines!$I:$I,MATCH(A31,Dynamic_Lines!$A:$A,0))</x:f>
        <x:v>261.35</x:v>
      </x:c>
      <x:c r="G31" t="str">
        <x:v>#ED1C24</x:v>
      </x:c>
      <x:c r="H31" t="e">
        <x:f>"&lt;line id="&amp;CHAR(34)&amp;A31&amp;CHAR(34)&amp;" x1="&amp;CHAR(34)&amp;TEXT(C31,"0.00")&amp;"mm"&amp;CHAR(34)&amp;" y1="&amp;CHAR(34)&amp;TEXT(D31,"0.00")&amp;"mm"&amp;CHAR(34)&amp;" x2="&amp;CHAR(34)&amp;TEXT(E31,"0.00")&amp;"mm"&amp;CHAR(34)&amp;" y2="&amp;CHAR(34)&amp;TEXT(F31,"0.00")&amp;"mm"&amp;CHAR(34)&amp;" stroke="&amp;CHAR(34)&amp;G31&amp;CHAR(34)&amp;" fill="&amp;CHAR(34)&amp;"none"&amp;CHAR(34)&amp;" /&gt;"</x:f>
      </x:c>
      <x:c r="I31" t="str">
        <x:v>Use dynamic values from Dynamic_Lines; all units are mm</x:v>
      </x:c>
    </x:row>
    <x:row r="32">
      <x:c r="A32" t="str">
        <x:v>H2</x:v>
      </x:c>
      <x:c r="B32" t="str">
        <x:v>CUT</x:v>
      </x:c>
      <x:c r="C32" s="22" t="n">
        <x:f>INDEX(Dynamic_Lines!$F:$F,MATCH(A32,Dynamic_Lines!$A:$A,0))</x:f>
        <x:v>64.85</x:v>
      </x:c>
      <x:c r="D32" s="22" t="n">
        <x:f>INDEX(Dynamic_Lines!$G:$G,MATCH(A32,Dynamic_Lines!$A:$A,0))</x:f>
        <x:v>449.35</x:v>
      </x:c>
      <x:c r="E32" s="22" t="n">
        <x:f>INDEX(Dynamic_Lines!$H:$H,MATCH(A32,Dynamic_Lines!$A:$A,0))</x:f>
        <x:v>15.849999999999994</x:v>
      </x:c>
      <x:c r="F32" s="22" t="n">
        <x:f>INDEX(Dynamic_Lines!$I:$I,MATCH(A32,Dynamic_Lines!$A:$A,0))</x:f>
        <x:v>449.35</x:v>
      </x:c>
      <x:c r="G32" t="str">
        <x:v>#ED1C24</x:v>
      </x:c>
      <x:c r="H32" t="e">
        <x:f>"&lt;line id="&amp;CHAR(34)&amp;A32&amp;CHAR(34)&amp;" x1="&amp;CHAR(34)&amp;TEXT(C32,"0.00")&amp;"mm"&amp;CHAR(34)&amp;" y1="&amp;CHAR(34)&amp;TEXT(D32,"0.00")&amp;"mm"&amp;CHAR(34)&amp;" x2="&amp;CHAR(34)&amp;TEXT(E32,"0.00")&amp;"mm"&amp;CHAR(34)&amp;" y2="&amp;CHAR(34)&amp;TEXT(F32,"0.00")&amp;"mm"&amp;CHAR(34)&amp;" stroke="&amp;CHAR(34)&amp;G32&amp;CHAR(34)&amp;" fill="&amp;CHAR(34)&amp;"none"&amp;CHAR(34)&amp;" /&gt;"</x:f>
      </x:c>
      <x:c r="I32" t="str">
        <x:v>Use dynamic values from Dynamic_Lines; all units are mm</x:v>
      </x:c>
    </x:row>
    <x:row r="33">
      <x:c r="A33" t="str">
        <x:v>H1</x:v>
      </x:c>
      <x:c r="B33" t="str">
        <x:v>CUT</x:v>
      </x:c>
      <x:c r="C33" s="22" t="n">
        <x:f>INDEX(Dynamic_Lines!$F:$F,MATCH(A33,Dynamic_Lines!$A:$A,0))</x:f>
        <x:v>65.85</x:v>
      </x:c>
      <x:c r="D33" s="22" t="n">
        <x:f>INDEX(Dynamic_Lines!$G:$G,MATCH(A33,Dynamic_Lines!$A:$A,0))</x:f>
        <x:v>450.35</x:v>
      </x:c>
      <x:c r="E33" s="22" t="n">
        <x:f>INDEX(Dynamic_Lines!$H:$H,MATCH(A33,Dynamic_Lines!$A:$A,0))</x:f>
        <x:v>64.85</x:v>
      </x:c>
      <x:c r="F33" s="22" t="n">
        <x:f>INDEX(Dynamic_Lines!$I:$I,MATCH(A33,Dynamic_Lines!$A:$A,0))</x:f>
        <x:v>449.35</x:v>
      </x:c>
      <x:c r="G33" t="str">
        <x:v>#ED1C24</x:v>
      </x:c>
      <x:c r="H33" t="e">
        <x:f>"&lt;line id="&amp;CHAR(34)&amp;A33&amp;CHAR(34)&amp;" x1="&amp;CHAR(34)&amp;TEXT(C33,"0.00")&amp;"mm"&amp;CHAR(34)&amp;" y1="&amp;CHAR(34)&amp;TEXT(D33,"0.00")&amp;"mm"&amp;CHAR(34)&amp;" x2="&amp;CHAR(34)&amp;TEXT(E33,"0.00")&amp;"mm"&amp;CHAR(34)&amp;" y2="&amp;CHAR(34)&amp;TEXT(F33,"0.00")&amp;"mm"&amp;CHAR(34)&amp;" stroke="&amp;CHAR(34)&amp;G33&amp;CHAR(34)&amp;" fill="&amp;CHAR(34)&amp;"none"&amp;CHAR(34)&amp;" /&gt;"</x:f>
      </x:c>
      <x:c r="I33" t="str">
        <x:v>Use dynamic values from Dynamic_Lines; all units are mm</x:v>
      </x:c>
    </x:row>
    <x:row r="34">
      <x:c r="A34" t="str">
        <x:v>G4</x:v>
      </x:c>
      <x:c r="B34" t="str">
        <x:v>CUT</x:v>
      </x:c>
      <x:c r="C34" s="22" t="n">
        <x:f>INDEX(Dynamic_Lines!$F:$F,MATCH(A34,Dynamic_Lines!$A:$A,0))</x:f>
        <x:v>0.3499999999999943</x:v>
      </x:c>
      <x:c r="D34" s="22" t="n">
        <x:f>INDEX(Dynamic_Lines!$G:$G,MATCH(A34,Dynamic_Lines!$A:$A,0))</x:f>
        <x:v>264.97</x:v>
      </x:c>
      <x:c r="E34" s="22" t="n">
        <x:f>INDEX(Dynamic_Lines!$H:$H,MATCH(A34,Dynamic_Lines!$A:$A,0))</x:f>
        <x:v>15.849999999999994</x:v>
      </x:c>
      <x:c r="F34" s="22" t="n">
        <x:f>INDEX(Dynamic_Lines!$I:$I,MATCH(A34,Dynamic_Lines!$A:$A,0))</x:f>
        <x:v>261.35</x:v>
      </x:c>
      <x:c r="G34" t="str">
        <x:v>#ED1C24</x:v>
      </x:c>
      <x:c r="H34" t="e">
        <x:f>"&lt;line id="&amp;CHAR(34)&amp;A34&amp;CHAR(34)&amp;" x1="&amp;CHAR(34)&amp;TEXT(C34,"0.00")&amp;"mm"&amp;CHAR(34)&amp;" y1="&amp;CHAR(34)&amp;TEXT(D34,"0.00")&amp;"mm"&amp;CHAR(34)&amp;" x2="&amp;CHAR(34)&amp;TEXT(E34,"0.00")&amp;"mm"&amp;CHAR(34)&amp;" y2="&amp;CHAR(34)&amp;TEXT(F34,"0.00")&amp;"mm"&amp;CHAR(34)&amp;" stroke="&amp;CHAR(34)&amp;G34&amp;CHAR(34)&amp;" fill="&amp;CHAR(34)&amp;"none"&amp;CHAR(34)&amp;" /&gt;"</x:f>
      </x:c>
      <x:c r="I34" t="str">
        <x:v>Use dynamic values from Dynamic_Lines; all units are mm</x:v>
      </x:c>
    </x:row>
    <x:row r="35">
      <x:c r="A35" t="str">
        <x:v>G3</x:v>
      </x:c>
      <x:c r="B35" t="str">
        <x:v>CUT</x:v>
      </x:c>
      <x:c r="C35" s="22" t="n">
        <x:f>INDEX(Dynamic_Lines!$F:$F,MATCH(A35,Dynamic_Lines!$A:$A,0))</x:f>
        <x:v>0.3499999999999943</x:v>
      </x:c>
      <x:c r="D35" s="22" t="n">
        <x:f>INDEX(Dynamic_Lines!$G:$G,MATCH(A35,Dynamic_Lines!$A:$A,0))</x:f>
        <x:v>445.73</x:v>
      </x:c>
      <x:c r="E35" s="22" t="n">
        <x:f>INDEX(Dynamic_Lines!$H:$H,MATCH(A35,Dynamic_Lines!$A:$A,0))</x:f>
        <x:v>0.3499999999999943</x:v>
      </x:c>
      <x:c r="F35" s="22" t="n">
        <x:f>INDEX(Dynamic_Lines!$I:$I,MATCH(A35,Dynamic_Lines!$A:$A,0))</x:f>
        <x:v>264.97</x:v>
      </x:c>
      <x:c r="G35" t="str">
        <x:v>#ED1C24</x:v>
      </x:c>
      <x:c r="H35" t="e">
        <x:f>"&lt;line id="&amp;CHAR(34)&amp;A35&amp;CHAR(34)&amp;" x1="&amp;CHAR(34)&amp;TEXT(C35,"0.00")&amp;"mm"&amp;CHAR(34)&amp;" y1="&amp;CHAR(34)&amp;TEXT(D35,"0.00")&amp;"mm"&amp;CHAR(34)&amp;" x2="&amp;CHAR(34)&amp;TEXT(E35,"0.00")&amp;"mm"&amp;CHAR(34)&amp;" y2="&amp;CHAR(34)&amp;TEXT(F35,"0.00")&amp;"mm"&amp;CHAR(34)&amp;" stroke="&amp;CHAR(34)&amp;G35&amp;CHAR(34)&amp;" fill="&amp;CHAR(34)&amp;"none"&amp;CHAR(34)&amp;" /&gt;"</x:f>
      </x:c>
      <x:c r="I35" t="str">
        <x:v>Use dynamic values from Dynamic_Lines; all units are mm</x:v>
      </x:c>
    </x:row>
    <x:row r="36">
      <x:c r="A36" t="str">
        <x:v>G2</x:v>
      </x:c>
      <x:c r="B36" t="str">
        <x:v>CUT</x:v>
      </x:c>
      <x:c r="C36" s="22" t="n">
        <x:f>INDEX(Dynamic_Lines!$F:$F,MATCH(A36,Dynamic_Lines!$A:$A,0))</x:f>
        <x:v>9.849999999999994</x:v>
      </x:c>
      <x:c r="D36" s="22" t="n">
        <x:f>INDEX(Dynamic_Lines!$G:$G,MATCH(A36,Dynamic_Lines!$A:$A,0))</x:f>
        <x:v>449.35</x:v>
      </x:c>
      <x:c r="E36" s="22" t="n">
        <x:f>INDEX(Dynamic_Lines!$H:$H,MATCH(A36,Dynamic_Lines!$A:$A,0))</x:f>
        <x:v>0.3499999999999943</x:v>
      </x:c>
      <x:c r="F36" s="22" t="n">
        <x:f>INDEX(Dynamic_Lines!$I:$I,MATCH(A36,Dynamic_Lines!$A:$A,0))</x:f>
        <x:v>445.73</x:v>
      </x:c>
      <x:c r="G36" t="str">
        <x:v>#ED1C24</x:v>
      </x:c>
      <x:c r="H36" t="e">
        <x:f>"&lt;line id="&amp;CHAR(34)&amp;A36&amp;CHAR(34)&amp;" x1="&amp;CHAR(34)&amp;TEXT(C36,"0.00")&amp;"mm"&amp;CHAR(34)&amp;" y1="&amp;CHAR(34)&amp;TEXT(D36,"0.00")&amp;"mm"&amp;CHAR(34)&amp;" x2="&amp;CHAR(34)&amp;TEXT(E36,"0.00")&amp;"mm"&amp;CHAR(34)&amp;" y2="&amp;CHAR(34)&amp;TEXT(F36,"0.00")&amp;"mm"&amp;CHAR(34)&amp;" stroke="&amp;CHAR(34)&amp;G36&amp;CHAR(34)&amp;" fill="&amp;CHAR(34)&amp;"none"&amp;CHAR(34)&amp;" /&gt;"</x:f>
      </x:c>
      <x:c r="I36" t="str">
        <x:v>Use dynamic values from Dynamic_Lines; all units are mm</x:v>
      </x:c>
    </x:row>
    <x:row r="37">
      <x:c r="A37" t="str">
        <x:v>G1</x:v>
      </x:c>
      <x:c r="B37" t="str">
        <x:v>CUT</x:v>
      </x:c>
      <x:c r="C37" s="22" t="n">
        <x:f>INDEX(Dynamic_Lines!$F:$F,MATCH(A37,Dynamic_Lines!$A:$A,0))</x:f>
        <x:v>15.849999999999994</x:v>
      </x:c>
      <x:c r="D37" s="22" t="n">
        <x:f>INDEX(Dynamic_Lines!$G:$G,MATCH(A37,Dynamic_Lines!$A:$A,0))</x:f>
        <x:v>449.35</x:v>
      </x:c>
      <x:c r="E37" s="22" t="n">
        <x:f>INDEX(Dynamic_Lines!$H:$H,MATCH(A37,Dynamic_Lines!$A:$A,0))</x:f>
        <x:v>9.849999999999994</x:v>
      </x:c>
      <x:c r="F37" s="22" t="n">
        <x:f>INDEX(Dynamic_Lines!$I:$I,MATCH(A37,Dynamic_Lines!$A:$A,0))</x:f>
        <x:v>449.35</x:v>
      </x:c>
      <x:c r="G37" t="str">
        <x:v>#ED1C24</x:v>
      </x:c>
      <x:c r="H37" t="e">
        <x:f>"&lt;line id="&amp;CHAR(34)&amp;A37&amp;CHAR(34)&amp;" x1="&amp;CHAR(34)&amp;TEXT(C37,"0.00")&amp;"mm"&amp;CHAR(34)&amp;" y1="&amp;CHAR(34)&amp;TEXT(D37,"0.00")&amp;"mm"&amp;CHAR(34)&amp;" x2="&amp;CHAR(34)&amp;TEXT(E37,"0.00")&amp;"mm"&amp;CHAR(34)&amp;" y2="&amp;CHAR(34)&amp;TEXT(F37,"0.00")&amp;"mm"&amp;CHAR(34)&amp;" stroke="&amp;CHAR(34)&amp;G37&amp;CHAR(34)&amp;" fill="&amp;CHAR(34)&amp;"none"&amp;CHAR(34)&amp;" /&gt;"</x:f>
      </x:c>
      <x:c r="I37" t="str">
        <x:v>Use dynamic values from Dynamic_Lines; all units are mm</x:v>
      </x:c>
    </x:row>
    <x:row r="38">
      <x:c r="A38" t="str">
        <x:v>F1</x:v>
      </x:c>
      <x:c r="B38" t="str">
        <x:v>CUT</x:v>
      </x:c>
      <x:c r="C38" s="22" t="n">
        <x:f>INDEX(Dynamic_Lines!$F:$F,MATCH(A38,Dynamic_Lines!$A:$A,0))</x:f>
        <x:v>315.85</x:v>
      </x:c>
      <x:c r="D38" s="22" t="n">
        <x:f>INDEX(Dynamic_Lines!$G:$G,MATCH(A38,Dynamic_Lines!$A:$A,0))</x:f>
        <x:v>450.35</x:v>
      </x:c>
      <x:c r="E38" s="22" t="n">
        <x:f>INDEX(Dynamic_Lines!$H:$H,MATCH(A38,Dynamic_Lines!$A:$A,0))</x:f>
        <x:v>318.85</x:v>
      </x:c>
      <x:c r="F38" s="22" t="n">
        <x:f>INDEX(Dynamic_Lines!$I:$I,MATCH(A38,Dynamic_Lines!$A:$A,0))</x:f>
        <x:v>453.35</x:v>
      </x:c>
      <x:c r="G38" t="str">
        <x:v>#ED1C24</x:v>
      </x:c>
      <x:c r="H38" t="e">
        <x:f>"&lt;line id="&amp;CHAR(34)&amp;A38&amp;CHAR(34)&amp;" x1="&amp;CHAR(34)&amp;TEXT(C38,"0.00")&amp;"mm"&amp;CHAR(34)&amp;" y1="&amp;CHAR(34)&amp;TEXT(D38,"0.00")&amp;"mm"&amp;CHAR(34)&amp;" x2="&amp;CHAR(34)&amp;TEXT(E38,"0.00")&amp;"mm"&amp;CHAR(34)&amp;" y2="&amp;CHAR(34)&amp;TEXT(F38,"0.00")&amp;"mm"&amp;CHAR(34)&amp;" stroke="&amp;CHAR(34)&amp;G38&amp;CHAR(34)&amp;" fill="&amp;CHAR(34)&amp;"none"&amp;CHAR(34)&amp;" /&gt;"</x:f>
      </x:c>
      <x:c r="I38" t="str">
        <x:v>Use dynamic values from Dynamic_Lines; all units are mm</x:v>
      </x:c>
    </x:row>
    <x:row r="39">
      <x:c r="A39" t="str">
        <x:v>F2</x:v>
      </x:c>
      <x:c r="B39" t="str">
        <x:v>CUT</x:v>
      </x:c>
      <x:c r="C39" s="22" t="n">
        <x:f>INDEX(Dynamic_Lines!$F:$F,MATCH(A39,Dynamic_Lines!$A:$A,0))</x:f>
        <x:v>318.85</x:v>
      </x:c>
      <x:c r="D39" s="22" t="n">
        <x:f>INDEX(Dynamic_Lines!$G:$G,MATCH(A39,Dynamic_Lines!$A:$A,0))</x:f>
        <x:v>453.35</x:v>
      </x:c>
      <x:c r="E39" s="22" t="n">
        <x:f>INDEX(Dynamic_Lines!$H:$H,MATCH(A39,Dynamic_Lines!$A:$A,0))</x:f>
        <x:v>365.85</x:v>
      </x:c>
      <x:c r="F39" s="22" t="n">
        <x:f>INDEX(Dynamic_Lines!$I:$I,MATCH(A39,Dynamic_Lines!$A:$A,0))</x:f>
        <x:v>463.35</x:v>
      </x:c>
      <x:c r="G39" t="str">
        <x:v>#ED1C24</x:v>
      </x:c>
      <x:c r="H39" t="e">
        <x:f>"&lt;line id="&amp;CHAR(34)&amp;A39&amp;CHAR(34)&amp;" x1="&amp;CHAR(34)&amp;TEXT(C39,"0.00")&amp;"mm"&amp;CHAR(34)&amp;" y1="&amp;CHAR(34)&amp;TEXT(D39,"0.00")&amp;"mm"&amp;CHAR(34)&amp;" x2="&amp;CHAR(34)&amp;TEXT(E39,"0.00")&amp;"mm"&amp;CHAR(34)&amp;" y2="&amp;CHAR(34)&amp;TEXT(F39,"0.00")&amp;"mm"&amp;CHAR(34)&amp;" stroke="&amp;CHAR(34)&amp;G39&amp;CHAR(34)&amp;" fill="&amp;CHAR(34)&amp;"none"&amp;CHAR(34)&amp;" /&gt;"</x:f>
      </x:c>
      <x:c r="I39" t="str">
        <x:v>Use dynamic values from Dynamic_Lines; all units are mm</x:v>
      </x:c>
    </x:row>
    <x:row r="40">
      <x:c r="A40" t="str">
        <x:v>F3</x:v>
      </x:c>
      <x:c r="B40" t="str">
        <x:v>CUT</x:v>
      </x:c>
      <x:c r="C40" s="22" t="n">
        <x:f>INDEX(Dynamic_Lines!$F:$F,MATCH(A40,Dynamic_Lines!$A:$A,0))</x:f>
        <x:v>365.85</x:v>
      </x:c>
      <x:c r="D40" s="22" t="n">
        <x:f>INDEX(Dynamic_Lines!$G:$G,MATCH(A40,Dynamic_Lines!$A:$A,0))</x:f>
        <x:v>497.35</x:v>
      </x:c>
      <x:c r="E40" s="22" t="n">
        <x:f>INDEX(Dynamic_Lines!$H:$H,MATCH(A40,Dynamic_Lines!$A:$A,0))</x:f>
        <x:v>365.85</x:v>
      </x:c>
      <x:c r="F40" s="22" t="n">
        <x:f>INDEX(Dynamic_Lines!$I:$I,MATCH(A40,Dynamic_Lines!$A:$A,0))</x:f>
        <x:v>463.35</x:v>
      </x:c>
      <x:c r="G40" t="str">
        <x:v>#ED1C24</x:v>
      </x:c>
      <x:c r="H40" t="e">
        <x:f>"&lt;line id="&amp;CHAR(34)&amp;A40&amp;CHAR(34)&amp;" x1="&amp;CHAR(34)&amp;TEXT(C40,"0.00")&amp;"mm"&amp;CHAR(34)&amp;" y1="&amp;CHAR(34)&amp;TEXT(D40,"0.00")&amp;"mm"&amp;CHAR(34)&amp;" x2="&amp;CHAR(34)&amp;TEXT(E40,"0.00")&amp;"mm"&amp;CHAR(34)&amp;" y2="&amp;CHAR(34)&amp;TEXT(F40,"0.00")&amp;"mm"&amp;CHAR(34)&amp;" stroke="&amp;CHAR(34)&amp;G40&amp;CHAR(34)&amp;" fill="&amp;CHAR(34)&amp;"none"&amp;CHAR(34)&amp;" /&gt;"</x:f>
      </x:c>
      <x:c r="I40" t="str">
        <x:v>Use dynamic values from Dynamic_Lines; all units are mm</x:v>
      </x:c>
    </x:row>
    <x:row r="41">
      <x:c r="A41" t="str">
        <x:v>F4</x:v>
      </x:c>
      <x:c r="B41" t="str">
        <x:v>CUT</x:v>
      </x:c>
      <x:c r="C41" s="22" t="n">
        <x:f>INDEX(Dynamic_Lines!$F:$F,MATCH(A41,Dynamic_Lines!$A:$A,0))</x:f>
        <x:v>318.85</x:v>
      </x:c>
      <x:c r="D41" s="22" t="n">
        <x:f>INDEX(Dynamic_Lines!$G:$G,MATCH(A41,Dynamic_Lines!$A:$A,0))</x:f>
        <x:v>497.35</x:v>
      </x:c>
      <x:c r="E41" s="22" t="n">
        <x:f>INDEX(Dynamic_Lines!$H:$H,MATCH(A41,Dynamic_Lines!$A:$A,0))</x:f>
        <x:v>365.85</x:v>
      </x:c>
      <x:c r="F41" s="22" t="n">
        <x:f>INDEX(Dynamic_Lines!$I:$I,MATCH(A41,Dynamic_Lines!$A:$A,0))</x:f>
        <x:v>497.35</x:v>
      </x:c>
      <x:c r="G41" t="str">
        <x:v>#ED1C24</x:v>
      </x:c>
      <x:c r="H41" t="e">
        <x:f>"&lt;line id="&amp;CHAR(34)&amp;A41&amp;CHAR(34)&amp;" x1="&amp;CHAR(34)&amp;TEXT(C41,"0.00")&amp;"mm"&amp;CHAR(34)&amp;" y1="&amp;CHAR(34)&amp;TEXT(D41,"0.00")&amp;"mm"&amp;CHAR(34)&amp;" x2="&amp;CHAR(34)&amp;TEXT(E41,"0.00")&amp;"mm"&amp;CHAR(34)&amp;" y2="&amp;CHAR(34)&amp;TEXT(F41,"0.00")&amp;"mm"&amp;CHAR(34)&amp;" stroke="&amp;CHAR(34)&amp;G41&amp;CHAR(34)&amp;" fill="&amp;CHAR(34)&amp;"none"&amp;CHAR(34)&amp;" /&gt;"</x:f>
      </x:c>
      <x:c r="I41" t="str">
        <x:v>Use dynamic values from Dynamic_Lines; all units are mm</x:v>
      </x:c>
    </x:row>
    <x:row r="42">
      <x:c r="A42" t="str">
        <x:v>F5</x:v>
      </x:c>
      <x:c r="B42" t="str">
        <x:v>CUT</x:v>
      </x:c>
      <x:c r="C42" s="22" t="n">
        <x:f>INDEX(Dynamic_Lines!$F:$F,MATCH(A42,Dynamic_Lines!$A:$A,0))</x:f>
        <x:v>315.85</x:v>
      </x:c>
      <x:c r="D42" s="22" t="n">
        <x:f>INDEX(Dynamic_Lines!$G:$G,MATCH(A42,Dynamic_Lines!$A:$A,0))</x:f>
        <x:v>500.35</x:v>
      </x:c>
      <x:c r="E42" s="22" t="n">
        <x:f>INDEX(Dynamic_Lines!$H:$H,MATCH(A42,Dynamic_Lines!$A:$A,0))</x:f>
        <x:v>318.85</x:v>
      </x:c>
      <x:c r="F42" s="22" t="n">
        <x:f>INDEX(Dynamic_Lines!$I:$I,MATCH(A42,Dynamic_Lines!$A:$A,0))</x:f>
        <x:v>497.35</x:v>
      </x:c>
      <x:c r="G42" t="str">
        <x:v>#ED1C24</x:v>
      </x:c>
      <x:c r="H42" t="e">
        <x:f>"&lt;line id="&amp;CHAR(34)&amp;A42&amp;CHAR(34)&amp;" x1="&amp;CHAR(34)&amp;TEXT(C42,"0.00")&amp;"mm"&amp;CHAR(34)&amp;" y1="&amp;CHAR(34)&amp;TEXT(D42,"0.00")&amp;"mm"&amp;CHAR(34)&amp;" x2="&amp;CHAR(34)&amp;TEXT(E42,"0.00")&amp;"mm"&amp;CHAR(34)&amp;" y2="&amp;CHAR(34)&amp;TEXT(F42,"0.00")&amp;"mm"&amp;CHAR(34)&amp;" stroke="&amp;CHAR(34)&amp;G42&amp;CHAR(34)&amp;" fill="&amp;CHAR(34)&amp;"none"&amp;CHAR(34)&amp;" /&gt;"</x:f>
      </x:c>
      <x:c r="I42" t="str">
        <x:v>Use dynamic values from Dynamic_Lines; all units are mm</x:v>
      </x:c>
    </x:row>
    <x:row r="43">
      <x:c r="A43" t="str">
        <x:v>E1</x:v>
      </x:c>
      <x:c r="B43" t="str">
        <x:v>CUT</x:v>
      </x:c>
      <x:c r="C43" s="22" t="n">
        <x:f>INDEX(Dynamic_Lines!$F:$F,MATCH(A43,Dynamic_Lines!$A:$A,0))</x:f>
        <x:v>65.85</x:v>
      </x:c>
      <x:c r="D43" s="22" t="n">
        <x:f>INDEX(Dynamic_Lines!$G:$G,MATCH(A43,Dynamic_Lines!$A:$A,0))</x:f>
        <x:v>500.35</x:v>
      </x:c>
      <x:c r="E43" s="22" t="n">
        <x:f>INDEX(Dynamic_Lines!$H:$H,MATCH(A43,Dynamic_Lines!$A:$A,0))</x:f>
        <x:v>62.849999999999994</x:v>
      </x:c>
      <x:c r="F43" s="22" t="n">
        <x:f>INDEX(Dynamic_Lines!$I:$I,MATCH(A43,Dynamic_Lines!$A:$A,0))</x:f>
        <x:v>497.35</x:v>
      </x:c>
      <x:c r="G43" t="str">
        <x:v>#ED1C24</x:v>
      </x:c>
      <x:c r="H43" t="e">
        <x:f>"&lt;line id="&amp;CHAR(34)&amp;A43&amp;CHAR(34)&amp;" x1="&amp;CHAR(34)&amp;TEXT(C43,"0.00")&amp;"mm"&amp;CHAR(34)&amp;" y1="&amp;CHAR(34)&amp;TEXT(D43,"0.00")&amp;"mm"&amp;CHAR(34)&amp;" x2="&amp;CHAR(34)&amp;TEXT(E43,"0.00")&amp;"mm"&amp;CHAR(34)&amp;" y2="&amp;CHAR(34)&amp;TEXT(F43,"0.00")&amp;"mm"&amp;CHAR(34)&amp;" stroke="&amp;CHAR(34)&amp;G43&amp;CHAR(34)&amp;" fill="&amp;CHAR(34)&amp;"none"&amp;CHAR(34)&amp;" /&gt;"</x:f>
      </x:c>
      <x:c r="I43" t="str">
        <x:v>Use dynamic values from Dynamic_Lines; all units are mm</x:v>
      </x:c>
    </x:row>
    <x:row r="44">
      <x:c r="A44" t="str">
        <x:v>E2</x:v>
      </x:c>
      <x:c r="B44" t="str">
        <x:v>CUT</x:v>
      </x:c>
      <x:c r="C44" s="22" t="n">
        <x:f>INDEX(Dynamic_Lines!$F:$F,MATCH(A44,Dynamic_Lines!$A:$A,0))</x:f>
        <x:v>62.849999999999994</x:v>
      </x:c>
      <x:c r="D44" s="22" t="n">
        <x:f>INDEX(Dynamic_Lines!$G:$G,MATCH(A44,Dynamic_Lines!$A:$A,0))</x:f>
        <x:v>497.35</x:v>
      </x:c>
      <x:c r="E44" s="22" t="n">
        <x:f>INDEX(Dynamic_Lines!$H:$H,MATCH(A44,Dynamic_Lines!$A:$A,0))</x:f>
        <x:v>15.849999999999994</x:v>
      </x:c>
      <x:c r="F44" s="22" t="n">
        <x:f>INDEX(Dynamic_Lines!$I:$I,MATCH(A44,Dynamic_Lines!$A:$A,0))</x:f>
        <x:v>497.35</x:v>
      </x:c>
      <x:c r="G44" t="str">
        <x:v>#ED1C24</x:v>
      </x:c>
      <x:c r="H44" t="e">
        <x:f>"&lt;line id="&amp;CHAR(34)&amp;A44&amp;CHAR(34)&amp;" x1="&amp;CHAR(34)&amp;TEXT(C44,"0.00")&amp;"mm"&amp;CHAR(34)&amp;" y1="&amp;CHAR(34)&amp;TEXT(D44,"0.00")&amp;"mm"&amp;CHAR(34)&amp;" x2="&amp;CHAR(34)&amp;TEXT(E44,"0.00")&amp;"mm"&amp;CHAR(34)&amp;" y2="&amp;CHAR(34)&amp;TEXT(F44,"0.00")&amp;"mm"&amp;CHAR(34)&amp;" stroke="&amp;CHAR(34)&amp;G44&amp;CHAR(34)&amp;" fill="&amp;CHAR(34)&amp;"none"&amp;CHAR(34)&amp;" /&gt;"</x:f>
      </x:c>
      <x:c r="I44" t="str">
        <x:v>Use dynamic values from Dynamic_Lines; all units are mm</x:v>
      </x:c>
    </x:row>
    <x:row r="45">
      <x:c r="A45" t="str">
        <x:v>E3</x:v>
      </x:c>
      <x:c r="B45" t="str">
        <x:v>CUT</x:v>
      </x:c>
      <x:c r="C45" s="22" t="n">
        <x:f>INDEX(Dynamic_Lines!$F:$F,MATCH(A45,Dynamic_Lines!$A:$A,0))</x:f>
        <x:v>15.849999999999994</x:v>
      </x:c>
      <x:c r="D45" s="22" t="n">
        <x:f>INDEX(Dynamic_Lines!$G:$G,MATCH(A45,Dynamic_Lines!$A:$A,0))</x:f>
        <x:v>497.35</x:v>
      </x:c>
      <x:c r="E45" s="22" t="n">
        <x:f>INDEX(Dynamic_Lines!$H:$H,MATCH(A45,Dynamic_Lines!$A:$A,0))</x:f>
        <x:v>15.849999999999994</x:v>
      </x:c>
      <x:c r="F45" s="22" t="n">
        <x:f>INDEX(Dynamic_Lines!$I:$I,MATCH(A45,Dynamic_Lines!$A:$A,0))</x:f>
        <x:v>463.35</x:v>
      </x:c>
      <x:c r="G45" t="str">
        <x:v>#ED1C24</x:v>
      </x:c>
      <x:c r="H45" t="e">
        <x:f>"&lt;line id="&amp;CHAR(34)&amp;A45&amp;CHAR(34)&amp;" x1="&amp;CHAR(34)&amp;TEXT(C45,"0.00")&amp;"mm"&amp;CHAR(34)&amp;" y1="&amp;CHAR(34)&amp;TEXT(D45,"0.00")&amp;"mm"&amp;CHAR(34)&amp;" x2="&amp;CHAR(34)&amp;TEXT(E45,"0.00")&amp;"mm"&amp;CHAR(34)&amp;" y2="&amp;CHAR(34)&amp;TEXT(F45,"0.00")&amp;"mm"&amp;CHAR(34)&amp;" stroke="&amp;CHAR(34)&amp;G45&amp;CHAR(34)&amp;" fill="&amp;CHAR(34)&amp;"none"&amp;CHAR(34)&amp;" /&gt;"</x:f>
      </x:c>
      <x:c r="I45" t="str">
        <x:v>Use dynamic values from Dynamic_Lines; all units are mm</x:v>
      </x:c>
    </x:row>
    <x:row r="46">
      <x:c r="A46" t="str">
        <x:v>E4</x:v>
      </x:c>
      <x:c r="B46" t="str">
        <x:v>CUT</x:v>
      </x:c>
      <x:c r="C46" s="22" t="n">
        <x:f>INDEX(Dynamic_Lines!$F:$F,MATCH(A46,Dynamic_Lines!$A:$A,0))</x:f>
        <x:v>62.849999999999994</x:v>
      </x:c>
      <x:c r="D46" s="22" t="n">
        <x:f>INDEX(Dynamic_Lines!$G:$G,MATCH(A46,Dynamic_Lines!$A:$A,0))</x:f>
        <x:v>453.35</x:v>
      </x:c>
      <x:c r="E46" s="22" t="n">
        <x:f>INDEX(Dynamic_Lines!$H:$H,MATCH(A46,Dynamic_Lines!$A:$A,0))</x:f>
        <x:v>15.849999999999994</x:v>
      </x:c>
      <x:c r="F46" s="22" t="n">
        <x:f>INDEX(Dynamic_Lines!$I:$I,MATCH(A46,Dynamic_Lines!$A:$A,0))</x:f>
        <x:v>463.35</x:v>
      </x:c>
      <x:c r="G46" t="str">
        <x:v>#ED1C24</x:v>
      </x:c>
      <x:c r="H46" t="e">
        <x:f>"&lt;line id="&amp;CHAR(34)&amp;A46&amp;CHAR(34)&amp;" x1="&amp;CHAR(34)&amp;TEXT(C46,"0.00")&amp;"mm"&amp;CHAR(34)&amp;" y1="&amp;CHAR(34)&amp;TEXT(D46,"0.00")&amp;"mm"&amp;CHAR(34)&amp;" x2="&amp;CHAR(34)&amp;TEXT(E46,"0.00")&amp;"mm"&amp;CHAR(34)&amp;" y2="&amp;CHAR(34)&amp;TEXT(F46,"0.00")&amp;"mm"&amp;CHAR(34)&amp;" stroke="&amp;CHAR(34)&amp;G46&amp;CHAR(34)&amp;" fill="&amp;CHAR(34)&amp;"none"&amp;CHAR(34)&amp;" /&gt;"</x:f>
      </x:c>
      <x:c r="I46" t="str">
        <x:v>Use dynamic values from Dynamic_Lines; all units are mm</x:v>
      </x:c>
    </x:row>
    <x:row r="47">
      <x:c r="A47" t="str">
        <x:v>E5</x:v>
      </x:c>
      <x:c r="B47" t="str">
        <x:v>CUT</x:v>
      </x:c>
      <x:c r="C47" s="22" t="n">
        <x:f>INDEX(Dynamic_Lines!$F:$F,MATCH(A47,Dynamic_Lines!$A:$A,0))</x:f>
        <x:v>65.85</x:v>
      </x:c>
      <x:c r="D47" s="22" t="n">
        <x:f>INDEX(Dynamic_Lines!$G:$G,MATCH(A47,Dynamic_Lines!$A:$A,0))</x:f>
        <x:v>450.35</x:v>
      </x:c>
      <x:c r="E47" s="22" t="n">
        <x:f>INDEX(Dynamic_Lines!$H:$H,MATCH(A47,Dynamic_Lines!$A:$A,0))</x:f>
        <x:v>62.849999999999994</x:v>
      </x:c>
      <x:c r="F47" s="22" t="n">
        <x:f>INDEX(Dynamic_Lines!$I:$I,MATCH(A47,Dynamic_Lines!$A:$A,0))</x:f>
        <x:v>453.35</x:v>
      </x:c>
      <x:c r="G47" t="str">
        <x:v>#ED1C24</x:v>
      </x:c>
      <x:c r="H47" t="e">
        <x:f>"&lt;line id="&amp;CHAR(34)&amp;A47&amp;CHAR(34)&amp;" x1="&amp;CHAR(34)&amp;TEXT(C47,"0.00")&amp;"mm"&amp;CHAR(34)&amp;" y1="&amp;CHAR(34)&amp;TEXT(D47,"0.00")&amp;"mm"&amp;CHAR(34)&amp;" x2="&amp;CHAR(34)&amp;TEXT(E47,"0.00")&amp;"mm"&amp;CHAR(34)&amp;" y2="&amp;CHAR(34)&amp;TEXT(F47,"0.00")&amp;"mm"&amp;CHAR(34)&amp;" stroke="&amp;CHAR(34)&amp;G47&amp;CHAR(34)&amp;" fill="&amp;CHAR(34)&amp;"none"&amp;CHAR(34)&amp;" /&gt;"</x:f>
      </x:c>
      <x:c r="I47" t="str">
        <x:v>Use dynamic values from Dynamic_Lines; all units are mm</x:v>
      </x:c>
    </x:row>
    <x:row r="48">
      <x:c r="A48" t="str">
        <x:v>M1</x:v>
      </x:c>
      <x:c r="B48" t="str">
        <x:v>CUT</x:v>
      </x:c>
      <x:c r="C48" s="22" t="n">
        <x:f>INDEX(Dynamic_Lines!$F:$F,MATCH(A48,Dynamic_Lines!$A:$A,0))</x:f>
        <x:v>315.85</x:v>
      </x:c>
      <x:c r="D48" s="22" t="n">
        <x:f>INDEX(Dynamic_Lines!$G:$G,MATCH(A48,Dynamic_Lines!$A:$A,0))</x:f>
        <x:v>500.35</x:v>
      </x:c>
      <x:c r="E48" s="22" t="n">
        <x:f>INDEX(Dynamic_Lines!$H:$H,MATCH(A48,Dynamic_Lines!$A:$A,0))</x:f>
        <x:v>65.85</x:v>
      </x:c>
      <x:c r="F48" s="22" t="n">
        <x:f>INDEX(Dynamic_Lines!$I:$I,MATCH(A48,Dynamic_Lines!$A:$A,0))</x:f>
        <x:v>500.35</x:v>
      </x:c>
      <x:c r="G48" t="str">
        <x:v>#ED1C24</x:v>
      </x:c>
      <x:c r="H48" t="e">
        <x:f>"&lt;line id="&amp;CHAR(34)&amp;A48&amp;CHAR(34)&amp;" x1="&amp;CHAR(34)&amp;TEXT(C48,"0.00")&amp;"mm"&amp;CHAR(34)&amp;" y1="&amp;CHAR(34)&amp;TEXT(D48,"0.00")&amp;"mm"&amp;CHAR(34)&amp;" x2="&amp;CHAR(34)&amp;TEXT(E48,"0.00")&amp;"mm"&amp;CHAR(34)&amp;" y2="&amp;CHAR(34)&amp;TEXT(F48,"0.00")&amp;"mm"&amp;CHAR(34)&amp;" stroke="&amp;CHAR(34)&amp;G48&amp;CHAR(34)&amp;" fill="&amp;CHAR(34)&amp;"none"&amp;CHAR(34)&amp;" /&gt;"</x:f>
      </x:c>
      <x:c r="I48" t="str">
        <x:v>Use dynamic values from Dynamic_Lines; all units are mm</x:v>
      </x:c>
    </x:row>
    <x:row r="49">
      <x:c r="A49" t="str">
        <x:v>CREASE1</x:v>
      </x:c>
      <x:c r="B49" t="str">
        <x:v>CREASE</x:v>
      </x:c>
      <x:c r="C49" s="22" t="n">
        <x:f>INDEX(Dynamic_Lines!$F:$F,MATCH(A49,Dynamic_Lines!$A:$A,0))</x:f>
        <x:v>315.85</x:v>
      </x:c>
      <x:c r="D49" s="22" t="n">
        <x:f>INDEX(Dynamic_Lines!$G:$G,MATCH(A49,Dynamic_Lines!$A:$A,0))</x:f>
        <x:v>260.35</x:v>
      </x:c>
      <x:c r="E49" s="22" t="n">
        <x:f>INDEX(Dynamic_Lines!$H:$H,MATCH(A49,Dynamic_Lines!$A:$A,0))</x:f>
        <x:v>65.85</x:v>
      </x:c>
      <x:c r="F49" s="22" t="n">
        <x:f>INDEX(Dynamic_Lines!$I:$I,MATCH(A49,Dynamic_Lines!$A:$A,0))</x:f>
        <x:v>260.35</x:v>
      </x:c>
      <x:c r="G49" t="str">
        <x:v>#00A651</x:v>
      </x:c>
      <x:c r="H49" t="e">
        <x:f>"&lt;line id="&amp;CHAR(34)&amp;A49&amp;CHAR(34)&amp;" x1="&amp;CHAR(34)&amp;TEXT(C49,"0.00")&amp;"mm"&amp;CHAR(34)&amp;" y1="&amp;CHAR(34)&amp;TEXT(D49,"0.00")&amp;"mm"&amp;CHAR(34)&amp;" x2="&amp;CHAR(34)&amp;TEXT(E49,"0.00")&amp;"mm"&amp;CHAR(34)&amp;" y2="&amp;CHAR(34)&amp;TEXT(F49,"0.00")&amp;"mm"&amp;CHAR(34)&amp;" stroke="&amp;CHAR(34)&amp;G49&amp;CHAR(34)&amp;" fill="&amp;CHAR(34)&amp;"none"&amp;CHAR(34)&amp;" /&gt;"</x:f>
      </x:c>
      <x:c r="I49" t="str">
        <x:v>Use dynamic values from Dynamic_Lines; all units are mm</x:v>
      </x:c>
    </x:row>
    <x:row r="50">
      <x:c r="A50" t="str">
        <x:v>CREASE2</x:v>
      </x:c>
      <x:c r="B50" t="str">
        <x:v>CREASE</x:v>
      </x:c>
      <x:c r="C50" s="22" t="n">
        <x:f>INDEX(Dynamic_Lines!$F:$F,MATCH(A50,Dynamic_Lines!$A:$A,0))</x:f>
        <x:v>65.85</x:v>
      </x:c>
      <x:c r="D50" s="22" t="n">
        <x:f>INDEX(Dynamic_Lines!$G:$G,MATCH(A50,Dynamic_Lines!$A:$A,0))</x:f>
        <x:v>450.35</x:v>
      </x:c>
      <x:c r="E50" s="22" t="n">
        <x:f>INDEX(Dynamic_Lines!$H:$H,MATCH(A50,Dynamic_Lines!$A:$A,0))</x:f>
        <x:v>315.85</x:v>
      </x:c>
      <x:c r="F50" s="22" t="n">
        <x:f>INDEX(Dynamic_Lines!$I:$I,MATCH(A50,Dynamic_Lines!$A:$A,0))</x:f>
        <x:v>450.35</x:v>
      </x:c>
      <x:c r="G50" t="str">
        <x:v>#00A651</x:v>
      </x:c>
      <x:c r="H50" t="e">
        <x:f>"&lt;line id="&amp;CHAR(34)&amp;A50&amp;CHAR(34)&amp;" x1="&amp;CHAR(34)&amp;TEXT(C50,"0.00")&amp;"mm"&amp;CHAR(34)&amp;" y1="&amp;CHAR(34)&amp;TEXT(D50,"0.00")&amp;"mm"&amp;CHAR(34)&amp;" x2="&amp;CHAR(34)&amp;TEXT(E50,"0.00")&amp;"mm"&amp;CHAR(34)&amp;" y2="&amp;CHAR(34)&amp;TEXT(F50,"0.00")&amp;"mm"&amp;CHAR(34)&amp;" stroke="&amp;CHAR(34)&amp;G50&amp;CHAR(34)&amp;" fill="&amp;CHAR(34)&amp;"none"&amp;CHAR(34)&amp;" /&gt;"</x:f>
      </x:c>
      <x:c r="I50" t="str">
        <x:v>Use dynamic values from Dynamic_Lines; all units are mm</x:v>
      </x:c>
    </x:row>
    <x:row r="51">
      <x:c r="A51" t="str">
        <x:v>CREASE3</x:v>
      </x:c>
      <x:c r="B51" t="str">
        <x:v>CREASE</x:v>
      </x:c>
      <x:c r="C51" s="22" t="n">
        <x:f>INDEX(Dynamic_Lines!$F:$F,MATCH(A51,Dynamic_Lines!$A:$A,0))</x:f>
        <x:v>65.85</x:v>
      </x:c>
      <x:c r="D51" s="22" t="n">
        <x:f>INDEX(Dynamic_Lines!$G:$G,MATCH(A51,Dynamic_Lines!$A:$A,0))</x:f>
        <x:v>210.35</x:v>
      </x:c>
      <x:c r="E51" s="22" t="n">
        <x:f>INDEX(Dynamic_Lines!$H:$H,MATCH(A51,Dynamic_Lines!$A:$A,0))</x:f>
        <x:v>315.85</x:v>
      </x:c>
      <x:c r="F51" s="22" t="n">
        <x:f>INDEX(Dynamic_Lines!$I:$I,MATCH(A51,Dynamic_Lines!$A:$A,0))</x:f>
        <x:v>210.35</x:v>
      </x:c>
      <x:c r="G51" t="str">
        <x:v>#00A651</x:v>
      </x:c>
      <x:c r="H51" t="e">
        <x:f>"&lt;line id="&amp;CHAR(34)&amp;A51&amp;CHAR(34)&amp;" x1="&amp;CHAR(34)&amp;TEXT(C51,"0.00")&amp;"mm"&amp;CHAR(34)&amp;" y1="&amp;CHAR(34)&amp;TEXT(D51,"0.00")&amp;"mm"&amp;CHAR(34)&amp;" x2="&amp;CHAR(34)&amp;TEXT(E51,"0.00")&amp;"mm"&amp;CHAR(34)&amp;" y2="&amp;CHAR(34)&amp;TEXT(F51,"0.00")&amp;"mm"&amp;CHAR(34)&amp;" stroke="&amp;CHAR(34)&amp;G51&amp;CHAR(34)&amp;" fill="&amp;CHAR(34)&amp;"none"&amp;CHAR(34)&amp;" /&gt;"</x:f>
      </x:c>
      <x:c r="I51" t="str">
        <x:v>Use dynamic values from Dynamic_Lines; all units are mm</x:v>
      </x:c>
    </x:row>
    <x:row r="52">
      <x:c r="A52" t="str">
        <x:v>CREASE4</x:v>
      </x:c>
      <x:c r="B52" t="str">
        <x:v>CREASE</x:v>
      </x:c>
      <x:c r="C52" s="22" t="n">
        <x:f>INDEX(Dynamic_Lines!$F:$F,MATCH(A52,Dynamic_Lines!$A:$A,0))</x:f>
        <x:v>74.85</x:v>
      </x:c>
      <x:c r="D52" s="22" t="n">
        <x:f>INDEX(Dynamic_Lines!$G:$G,MATCH(A52,Dynamic_Lines!$A:$A,0))</x:f>
        <x:v>21.35</x:v>
      </x:c>
      <x:c r="E52" s="22" t="n">
        <x:f>INDEX(Dynamic_Lines!$H:$H,MATCH(A52,Dynamic_Lines!$A:$A,0))</x:f>
        <x:v>306.85</x:v>
      </x:c>
      <x:c r="F52" s="22" t="n">
        <x:f>INDEX(Dynamic_Lines!$I:$I,MATCH(A52,Dynamic_Lines!$A:$A,0))</x:f>
        <x:v>21.35</x:v>
      </x:c>
      <x:c r="G52" t="str">
        <x:v>#00A651</x:v>
      </x:c>
      <x:c r="H52" t="e">
        <x:f>"&lt;line id="&amp;CHAR(34)&amp;A52&amp;CHAR(34)&amp;" x1="&amp;CHAR(34)&amp;TEXT(C52,"0.00")&amp;"mm"&amp;CHAR(34)&amp;" y1="&amp;CHAR(34)&amp;TEXT(D52,"0.00")&amp;"mm"&amp;CHAR(34)&amp;" x2="&amp;CHAR(34)&amp;TEXT(E52,"0.00")&amp;"mm"&amp;CHAR(34)&amp;" y2="&amp;CHAR(34)&amp;TEXT(F52,"0.00")&amp;"mm"&amp;CHAR(34)&amp;" stroke="&amp;CHAR(34)&amp;G52&amp;CHAR(34)&amp;" fill="&amp;CHAR(34)&amp;"none"&amp;CHAR(34)&amp;" /&gt;"</x:f>
      </x:c>
      <x:c r="I52" t="str">
        <x:v>Use dynamic values from Dynamic_Lines; all units are mm</x:v>
      </x:c>
    </x:row>
    <x:row r="53">
      <x:c r="A53" t="str">
        <x:v>CREASE5</x:v>
      </x:c>
      <x:c r="B53" t="str">
        <x:v>CREASE</x:v>
      </x:c>
      <x:c r="C53" s="22" t="n">
        <x:f>INDEX(Dynamic_Lines!$F:$F,MATCH(A53,Dynamic_Lines!$A:$A,0))</x:f>
        <x:v>316.85</x:v>
      </x:c>
      <x:c r="D53" s="22" t="n">
        <x:f>INDEX(Dynamic_Lines!$G:$G,MATCH(A53,Dynamic_Lines!$A:$A,0))</x:f>
        <x:v>261.35</x:v>
      </x:c>
      <x:c r="E53" s="22" t="n">
        <x:f>INDEX(Dynamic_Lines!$H:$H,MATCH(A53,Dynamic_Lines!$A:$A,0))</x:f>
        <x:v>381.35</x:v>
      </x:c>
      <x:c r="F53" s="22" t="n">
        <x:f>INDEX(Dynamic_Lines!$I:$I,MATCH(A53,Dynamic_Lines!$A:$A,0))</x:f>
        <x:v>325.85</x:v>
      </x:c>
      <x:c r="G53" t="str">
        <x:v>#00A651</x:v>
      </x:c>
      <x:c r="H53" t="e">
        <x:f>"&lt;line id="&amp;CHAR(34)&amp;A53&amp;CHAR(34)&amp;" x1="&amp;CHAR(34)&amp;TEXT(C53,"0.00")&amp;"mm"&amp;CHAR(34)&amp;" y1="&amp;CHAR(34)&amp;TEXT(D53,"0.00")&amp;"mm"&amp;CHAR(34)&amp;" x2="&amp;CHAR(34)&amp;TEXT(E53,"0.00")&amp;"mm"&amp;CHAR(34)&amp;" y2="&amp;CHAR(34)&amp;TEXT(F53,"0.00")&amp;"mm"&amp;CHAR(34)&amp;" stroke="&amp;CHAR(34)&amp;G53&amp;CHAR(34)&amp;" fill="&amp;CHAR(34)&amp;"none"&amp;CHAR(34)&amp;" /&gt;"</x:f>
      </x:c>
      <x:c r="I53" t="str">
        <x:v>Use dynamic values from Dynamic_Lines; all units are mm</x:v>
      </x:c>
    </x:row>
    <x:row r="54">
      <x:c r="A54" t="str">
        <x:v>CREASE6</x:v>
      </x:c>
      <x:c r="B54" t="str">
        <x:v>CREASE</x:v>
      </x:c>
      <x:c r="C54" s="22" t="n">
        <x:f>INDEX(Dynamic_Lines!$F:$F,MATCH(A54,Dynamic_Lines!$A:$A,0))</x:f>
        <x:v>365.85</x:v>
      </x:c>
      <x:c r="D54" s="22" t="n">
        <x:f>INDEX(Dynamic_Lines!$G:$G,MATCH(A54,Dynamic_Lines!$A:$A,0))</x:f>
        <x:v>261.35</x:v>
      </x:c>
      <x:c r="E54" s="22" t="n">
        <x:f>INDEX(Dynamic_Lines!$H:$H,MATCH(A54,Dynamic_Lines!$A:$A,0))</x:f>
        <x:v>365.85</x:v>
      </x:c>
      <x:c r="F54" s="22" t="n">
        <x:f>INDEX(Dynamic_Lines!$I:$I,MATCH(A54,Dynamic_Lines!$A:$A,0))</x:f>
        <x:v>449.35</x:v>
      </x:c>
      <x:c r="G54" t="str">
        <x:v>#00A651</x:v>
      </x:c>
      <x:c r="H54" t="e">
        <x:f>"&lt;line id="&amp;CHAR(34)&amp;A54&amp;CHAR(34)&amp;" x1="&amp;CHAR(34)&amp;TEXT(C54,"0.00")&amp;"mm"&amp;CHAR(34)&amp;" y1="&amp;CHAR(34)&amp;TEXT(D54,"0.00")&amp;"mm"&amp;CHAR(34)&amp;" x2="&amp;CHAR(34)&amp;TEXT(E54,"0.00")&amp;"mm"&amp;CHAR(34)&amp;" y2="&amp;CHAR(34)&amp;TEXT(F54,"0.00")&amp;"mm"&amp;CHAR(34)&amp;" stroke="&amp;CHAR(34)&amp;G54&amp;CHAR(34)&amp;" fill="&amp;CHAR(34)&amp;"none"&amp;CHAR(34)&amp;" /&gt;"</x:f>
      </x:c>
      <x:c r="I54" t="str">
        <x:v>Use dynamic values from Dynamic_Lines; all units are mm</x:v>
      </x:c>
    </x:row>
    <x:row r="55">
      <x:c r="A55" t="str">
        <x:v>CREASE7</x:v>
      </x:c>
      <x:c r="B55" t="str">
        <x:v>CREASE</x:v>
      </x:c>
      <x:c r="C55" s="22" t="n">
        <x:f>INDEX(Dynamic_Lines!$F:$F,MATCH(A55,Dynamic_Lines!$A:$A,0))</x:f>
        <x:v>316.85</x:v>
      </x:c>
      <x:c r="D55" s="22" t="n">
        <x:f>INDEX(Dynamic_Lines!$G:$G,MATCH(A55,Dynamic_Lines!$A:$A,0))</x:f>
        <x:v>449.35</x:v>
      </x:c>
      <x:c r="E55" s="22" t="n">
        <x:f>INDEX(Dynamic_Lines!$H:$H,MATCH(A55,Dynamic_Lines!$A:$A,0))</x:f>
        <x:v>381.35</x:v>
      </x:c>
      <x:c r="F55" s="22" t="n">
        <x:f>INDEX(Dynamic_Lines!$I:$I,MATCH(A55,Dynamic_Lines!$A:$A,0))</x:f>
        <x:v>384.85</x:v>
      </x:c>
      <x:c r="G55" t="str">
        <x:v>#00A651</x:v>
      </x:c>
      <x:c r="H55" t="e">
        <x:f>"&lt;line id="&amp;CHAR(34)&amp;A55&amp;CHAR(34)&amp;" x1="&amp;CHAR(34)&amp;TEXT(C55,"0.00")&amp;"mm"&amp;CHAR(34)&amp;" y1="&amp;CHAR(34)&amp;TEXT(D55,"0.00")&amp;"mm"&amp;CHAR(34)&amp;" x2="&amp;CHAR(34)&amp;TEXT(E55,"0.00")&amp;"mm"&amp;CHAR(34)&amp;" y2="&amp;CHAR(34)&amp;TEXT(F55,"0.00")&amp;"mm"&amp;CHAR(34)&amp;" stroke="&amp;CHAR(34)&amp;G55&amp;CHAR(34)&amp;" fill="&amp;CHAR(34)&amp;"none"&amp;CHAR(34)&amp;" /&gt;"</x:f>
      </x:c>
      <x:c r="I55" t="str">
        <x:v>Use dynamic values from Dynamic_Lines; all units are mm</x:v>
      </x:c>
    </x:row>
    <x:row r="56">
      <x:c r="A56" t="str">
        <x:v>CREASE8</x:v>
      </x:c>
      <x:c r="B56" t="str">
        <x:v>CREASE</x:v>
      </x:c>
      <x:c r="C56" s="22" t="n">
        <x:f>INDEX(Dynamic_Lines!$F:$F,MATCH(A56,Dynamic_Lines!$A:$A,0))</x:f>
        <x:v>64.85</x:v>
      </x:c>
      <x:c r="D56" s="22" t="n">
        <x:f>INDEX(Dynamic_Lines!$G:$G,MATCH(A56,Dynamic_Lines!$A:$A,0))</x:f>
        <x:v>261.35</x:v>
      </x:c>
      <x:c r="E56" s="22" t="n">
        <x:f>INDEX(Dynamic_Lines!$H:$H,MATCH(A56,Dynamic_Lines!$A:$A,0))</x:f>
        <x:v>0.3499999999999943</x:v>
      </x:c>
      <x:c r="F56" s="22" t="n">
        <x:f>INDEX(Dynamic_Lines!$I:$I,MATCH(A56,Dynamic_Lines!$A:$A,0))</x:f>
        <x:v>325.85</x:v>
      </x:c>
      <x:c r="G56" t="str">
        <x:v>#00A651</x:v>
      </x:c>
      <x:c r="H56" t="e">
        <x:f>"&lt;line id="&amp;CHAR(34)&amp;A56&amp;CHAR(34)&amp;" x1="&amp;CHAR(34)&amp;TEXT(C56,"0.00")&amp;"mm"&amp;CHAR(34)&amp;" y1="&amp;CHAR(34)&amp;TEXT(D56,"0.00")&amp;"mm"&amp;CHAR(34)&amp;" x2="&amp;CHAR(34)&amp;TEXT(E56,"0.00")&amp;"mm"&amp;CHAR(34)&amp;" y2="&amp;CHAR(34)&amp;TEXT(F56,"0.00")&amp;"mm"&amp;CHAR(34)&amp;" stroke="&amp;CHAR(34)&amp;G56&amp;CHAR(34)&amp;" fill="&amp;CHAR(34)&amp;"none"&amp;CHAR(34)&amp;" /&gt;"</x:f>
      </x:c>
      <x:c r="I56" t="str">
        <x:v>Use dynamic values from Dynamic_Lines; all units are mm</x:v>
      </x:c>
    </x:row>
    <x:row r="57">
      <x:c r="A57" t="str">
        <x:v>CREASE9</x:v>
      </x:c>
      <x:c r="B57" t="str">
        <x:v>CREASE</x:v>
      </x:c>
      <x:c r="C57" s="22" t="n">
        <x:f>INDEX(Dynamic_Lines!$F:$F,MATCH(A57,Dynamic_Lines!$A:$A,0))</x:f>
        <x:v>15.849999999999994</x:v>
      </x:c>
      <x:c r="D57" s="22" t="n">
        <x:f>INDEX(Dynamic_Lines!$G:$G,MATCH(A57,Dynamic_Lines!$A:$A,0))</x:f>
        <x:v>261.35</x:v>
      </x:c>
      <x:c r="E57" s="22" t="n">
        <x:f>INDEX(Dynamic_Lines!$H:$H,MATCH(A57,Dynamic_Lines!$A:$A,0))</x:f>
        <x:v>15.849999999999994</x:v>
      </x:c>
      <x:c r="F57" s="22" t="n">
        <x:f>INDEX(Dynamic_Lines!$I:$I,MATCH(A57,Dynamic_Lines!$A:$A,0))</x:f>
        <x:v>449.35</x:v>
      </x:c>
      <x:c r="G57" t="str">
        <x:v>#00A651</x:v>
      </x:c>
      <x:c r="H57" t="e">
        <x:f>"&lt;line id="&amp;CHAR(34)&amp;A57&amp;CHAR(34)&amp;" x1="&amp;CHAR(34)&amp;TEXT(C57,"0.00")&amp;"mm"&amp;CHAR(34)&amp;" y1="&amp;CHAR(34)&amp;TEXT(D57,"0.00")&amp;"mm"&amp;CHAR(34)&amp;" x2="&amp;CHAR(34)&amp;TEXT(E57,"0.00")&amp;"mm"&amp;CHAR(34)&amp;" y2="&amp;CHAR(34)&amp;TEXT(F57,"0.00")&amp;"mm"&amp;CHAR(34)&amp;" stroke="&amp;CHAR(34)&amp;G57&amp;CHAR(34)&amp;" fill="&amp;CHAR(34)&amp;"none"&amp;CHAR(34)&amp;" /&gt;"</x:f>
      </x:c>
      <x:c r="I57" t="str">
        <x:v>Use dynamic values from Dynamic_Lines; all units are mm</x:v>
      </x:c>
    </x:row>
    <x:row r="58">
      <x:c r="A58" t="str">
        <x:v>CREASE10</x:v>
      </x:c>
      <x:c r="B58" t="str">
        <x:v>CREASE</x:v>
      </x:c>
      <x:c r="C58" s="22" t="n">
        <x:f>INDEX(Dynamic_Lines!$F:$F,MATCH(A58,Dynamic_Lines!$A:$A,0))</x:f>
        <x:v>64.85</x:v>
      </x:c>
      <x:c r="D58" s="22" t="n">
        <x:f>INDEX(Dynamic_Lines!$G:$G,MATCH(A58,Dynamic_Lines!$A:$A,0))</x:f>
        <x:v>449.35</x:v>
      </x:c>
      <x:c r="E58" s="22" t="n">
        <x:f>INDEX(Dynamic_Lines!$H:$H,MATCH(A58,Dynamic_Lines!$A:$A,0))</x:f>
        <x:v>0.3499999999999943</x:v>
      </x:c>
      <x:c r="F58" s="22" t="n">
        <x:f>INDEX(Dynamic_Lines!$I:$I,MATCH(A58,Dynamic_Lines!$A:$A,0))</x:f>
        <x:v>384.85</x:v>
      </x:c>
      <x:c r="G58" t="str">
        <x:v>#00A651</x:v>
      </x:c>
      <x:c r="H58" t="e">
        <x:f>"&lt;line id="&amp;CHAR(34)&amp;A58&amp;CHAR(34)&amp;" x1="&amp;CHAR(34)&amp;TEXT(C58,"0.00")&amp;"mm"&amp;CHAR(34)&amp;" y1="&amp;CHAR(34)&amp;TEXT(D58,"0.00")&amp;"mm"&amp;CHAR(34)&amp;" x2="&amp;CHAR(34)&amp;TEXT(E58,"0.00")&amp;"mm"&amp;CHAR(34)&amp;" y2="&amp;CHAR(34)&amp;TEXT(F58,"0.00")&amp;"mm"&amp;CHAR(34)&amp;" stroke="&amp;CHAR(34)&amp;G58&amp;CHAR(34)&amp;" fill="&amp;CHAR(34)&amp;"none"&amp;CHAR(34)&amp;" /&gt;"</x:f>
      </x:c>
      <x:c r="I58" t="str">
        <x:v>Use dynamic values from Dynamic_Lines; all units are mm</x:v>
      </x:c>
    </x:row>
    <x:row r="59">
      <x:c r="A59" t="str">
        <x:v>CREASE11</x:v>
      </x:c>
      <x:c r="B59" t="str">
        <x:v>CREASE</x:v>
      </x:c>
      <x:c r="C59" s="22" t="n">
        <x:f>INDEX(Dynamic_Lines!$F:$F,MATCH(A59,Dynamic_Lines!$A:$A,0))</x:f>
        <x:v>315.85</x:v>
      </x:c>
      <x:c r="D59" s="22" t="n">
        <x:f>INDEX(Dynamic_Lines!$G:$G,MATCH(A59,Dynamic_Lines!$A:$A,0))</x:f>
        <x:v>260.35</x:v>
      </x:c>
      <x:c r="E59" s="22" t="n">
        <x:f>INDEX(Dynamic_Lines!$H:$H,MATCH(A59,Dynamic_Lines!$A:$A,0))</x:f>
        <x:v>315.85</x:v>
      </x:c>
      <x:c r="F59" s="22" t="n">
        <x:f>INDEX(Dynamic_Lines!$I:$I,MATCH(A59,Dynamic_Lines!$A:$A,0))</x:f>
        <x:v>210.35</x:v>
      </x:c>
      <x:c r="G59" t="str">
        <x:v>#00A651</x:v>
      </x:c>
      <x:c r="H59" t="e">
        <x:f>"&lt;line id="&amp;CHAR(34)&amp;A59&amp;CHAR(34)&amp;" x1="&amp;CHAR(34)&amp;TEXT(C59,"0.00")&amp;"mm"&amp;CHAR(34)&amp;" y1="&amp;CHAR(34)&amp;TEXT(D59,"0.00")&amp;"mm"&amp;CHAR(34)&amp;" x2="&amp;CHAR(34)&amp;TEXT(E59,"0.00")&amp;"mm"&amp;CHAR(34)&amp;" y2="&amp;CHAR(34)&amp;TEXT(F59,"0.00")&amp;"mm"&amp;CHAR(34)&amp;" stroke="&amp;CHAR(34)&amp;G59&amp;CHAR(34)&amp;" fill="&amp;CHAR(34)&amp;"none"&amp;CHAR(34)&amp;" /&gt;"</x:f>
      </x:c>
      <x:c r="I59" t="str">
        <x:v>Use dynamic values from Dynamic_Lines; all units are mm</x:v>
      </x:c>
    </x:row>
    <x:row r="60">
      <x:c r="A60" t="str">
        <x:v>CREASE12</x:v>
      </x:c>
      <x:c r="B60" t="str">
        <x:v>CREASE</x:v>
      </x:c>
      <x:c r="C60" s="22" t="n">
        <x:f>INDEX(Dynamic_Lines!$F:$F,MATCH(A60,Dynamic_Lines!$A:$A,0))</x:f>
        <x:v>315.85</x:v>
      </x:c>
      <x:c r="D60" s="22" t="n">
        <x:f>INDEX(Dynamic_Lines!$G:$G,MATCH(A60,Dynamic_Lines!$A:$A,0))</x:f>
        <x:v>500.35</x:v>
      </x:c>
      <x:c r="E60" s="22" t="n">
        <x:f>INDEX(Dynamic_Lines!$H:$H,MATCH(A60,Dynamic_Lines!$A:$A,0))</x:f>
        <x:v>315.85</x:v>
      </x:c>
      <x:c r="F60" s="22" t="n">
        <x:f>INDEX(Dynamic_Lines!$I:$I,MATCH(A60,Dynamic_Lines!$A:$A,0))</x:f>
        <x:v>450.35</x:v>
      </x:c>
      <x:c r="G60" t="str">
        <x:v>#00A651</x:v>
      </x:c>
      <x:c r="H60" t="e">
        <x:f>"&lt;line id="&amp;CHAR(34)&amp;A60&amp;CHAR(34)&amp;" x1="&amp;CHAR(34)&amp;TEXT(C60,"0.00")&amp;"mm"&amp;CHAR(34)&amp;" y1="&amp;CHAR(34)&amp;TEXT(D60,"0.00")&amp;"mm"&amp;CHAR(34)&amp;" x2="&amp;CHAR(34)&amp;TEXT(E60,"0.00")&amp;"mm"&amp;CHAR(34)&amp;" y2="&amp;CHAR(34)&amp;TEXT(F60,"0.00")&amp;"mm"&amp;CHAR(34)&amp;" stroke="&amp;CHAR(34)&amp;G60&amp;CHAR(34)&amp;" fill="&amp;CHAR(34)&amp;"none"&amp;CHAR(34)&amp;" /&gt;"</x:f>
      </x:c>
      <x:c r="I60" t="str">
        <x:v>Use dynamic values from Dynamic_Lines; all units are mm</x:v>
      </x:c>
    </x:row>
    <x:row r="61">
      <x:c r="A61" t="str">
        <x:v>CREASE13</x:v>
      </x:c>
      <x:c r="B61" t="str">
        <x:v>CREASE</x:v>
      </x:c>
      <x:c r="C61" s="22" t="n">
        <x:f>INDEX(Dynamic_Lines!$F:$F,MATCH(A61,Dynamic_Lines!$A:$A,0))</x:f>
        <x:v>315.85</x:v>
      </x:c>
      <x:c r="D61" s="22" t="n">
        <x:f>INDEX(Dynamic_Lines!$G:$G,MATCH(A61,Dynamic_Lines!$A:$A,0))</x:f>
        <x:v>450.35</x:v>
      </x:c>
      <x:c r="E61" s="22" t="n">
        <x:f>INDEX(Dynamic_Lines!$H:$H,MATCH(A61,Dynamic_Lines!$A:$A,0))</x:f>
        <x:v>315.85</x:v>
      </x:c>
      <x:c r="F61" s="22" t="n">
        <x:f>INDEX(Dynamic_Lines!$I:$I,MATCH(A61,Dynamic_Lines!$A:$A,0))</x:f>
        <x:v>260.35</x:v>
      </x:c>
      <x:c r="G61" t="str">
        <x:v>#00A651</x:v>
      </x:c>
      <x:c r="H61" t="e">
        <x:f>"&lt;line id="&amp;CHAR(34)&amp;A61&amp;CHAR(34)&amp;" x1="&amp;CHAR(34)&amp;TEXT(C61,"0.00")&amp;"mm"&amp;CHAR(34)&amp;" y1="&amp;CHAR(34)&amp;TEXT(D61,"0.00")&amp;"mm"&amp;CHAR(34)&amp;" x2="&amp;CHAR(34)&amp;TEXT(E61,"0.00")&amp;"mm"&amp;CHAR(34)&amp;" y2="&amp;CHAR(34)&amp;TEXT(F61,"0.00")&amp;"mm"&amp;CHAR(34)&amp;" stroke="&amp;CHAR(34)&amp;G61&amp;CHAR(34)&amp;" fill="&amp;CHAR(34)&amp;"none"&amp;CHAR(34)&amp;" /&gt;"</x:f>
      </x:c>
      <x:c r="I61" t="str">
        <x:v>Use dynamic values from Dynamic_Lines; all units are mm</x:v>
      </x:c>
    </x:row>
    <x:row r="62">
      <x:c r="A62" t="str">
        <x:v>CREASE14</x:v>
      </x:c>
      <x:c r="B62" t="str">
        <x:v>CREASE</x:v>
      </x:c>
      <x:c r="C62" s="22" t="n">
        <x:f>INDEX(Dynamic_Lines!$F:$F,MATCH(A62,Dynamic_Lines!$A:$A,0))</x:f>
        <x:v>65.85</x:v>
      </x:c>
      <x:c r="D62" s="22" t="n">
        <x:f>INDEX(Dynamic_Lines!$G:$G,MATCH(A62,Dynamic_Lines!$A:$A,0))</x:f>
        <x:v>260.35</x:v>
      </x:c>
      <x:c r="E62" s="22" t="n">
        <x:f>INDEX(Dynamic_Lines!$H:$H,MATCH(A62,Dynamic_Lines!$A:$A,0))</x:f>
        <x:v>65.85</x:v>
      </x:c>
      <x:c r="F62" s="22" t="n">
        <x:f>INDEX(Dynamic_Lines!$I:$I,MATCH(A62,Dynamic_Lines!$A:$A,0))</x:f>
        <x:v>210.35</x:v>
      </x:c>
      <x:c r="G62" t="str">
        <x:v>#00A651</x:v>
      </x:c>
      <x:c r="H62" t="e">
        <x:f>"&lt;line id="&amp;CHAR(34)&amp;A62&amp;CHAR(34)&amp;" x1="&amp;CHAR(34)&amp;TEXT(C62,"0.00")&amp;"mm"&amp;CHAR(34)&amp;" y1="&amp;CHAR(34)&amp;TEXT(D62,"0.00")&amp;"mm"&amp;CHAR(34)&amp;" x2="&amp;CHAR(34)&amp;TEXT(E62,"0.00")&amp;"mm"&amp;CHAR(34)&amp;" y2="&amp;CHAR(34)&amp;TEXT(F62,"0.00")&amp;"mm"&amp;CHAR(34)&amp;" stroke="&amp;CHAR(34)&amp;G62&amp;CHAR(34)&amp;" fill="&amp;CHAR(34)&amp;"none"&amp;CHAR(34)&amp;" /&gt;"</x:f>
      </x:c>
      <x:c r="I62" t="str">
        <x:v>Use dynamic values from Dynamic_Lines; all units are mm</x:v>
      </x:c>
    </x:row>
    <x:row r="63">
      <x:c r="A63" t="str">
        <x:v>CREASE15</x:v>
      </x:c>
      <x:c r="B63" t="str">
        <x:v>CREASE</x:v>
      </x:c>
      <x:c r="C63" s="22" t="n">
        <x:f>INDEX(Dynamic_Lines!$F:$F,MATCH(A63,Dynamic_Lines!$A:$A,0))</x:f>
        <x:v>65.85</x:v>
      </x:c>
      <x:c r="D63" s="22" t="n">
        <x:f>INDEX(Dynamic_Lines!$G:$G,MATCH(A63,Dynamic_Lines!$A:$A,0))</x:f>
        <x:v>500.35</x:v>
      </x:c>
      <x:c r="E63" s="22" t="n">
        <x:f>INDEX(Dynamic_Lines!$H:$H,MATCH(A63,Dynamic_Lines!$A:$A,0))</x:f>
        <x:v>65.85</x:v>
      </x:c>
      <x:c r="F63" s="22" t="n">
        <x:f>INDEX(Dynamic_Lines!$I:$I,MATCH(A63,Dynamic_Lines!$A:$A,0))</x:f>
        <x:v>450.35</x:v>
      </x:c>
      <x:c r="G63" t="str">
        <x:v>#00A651</x:v>
      </x:c>
      <x:c r="H63" t="e">
        <x:f>"&lt;line id="&amp;CHAR(34)&amp;A63&amp;CHAR(34)&amp;" x1="&amp;CHAR(34)&amp;TEXT(C63,"0.00")&amp;"mm"&amp;CHAR(34)&amp;" y1="&amp;CHAR(34)&amp;TEXT(D63,"0.00")&amp;"mm"&amp;CHAR(34)&amp;" x2="&amp;CHAR(34)&amp;TEXT(E63,"0.00")&amp;"mm"&amp;CHAR(34)&amp;" y2="&amp;CHAR(34)&amp;TEXT(F63,"0.00")&amp;"mm"&amp;CHAR(34)&amp;" stroke="&amp;CHAR(34)&amp;G63&amp;CHAR(34)&amp;" fill="&amp;CHAR(34)&amp;"none"&amp;CHAR(34)&amp;" /&gt;"</x:f>
      </x:c>
      <x:c r="I63" t="str">
        <x:v>Use dynamic values from Dynamic_Lines; all units are mm</x:v>
      </x:c>
    </x:row>
    <x:row r="64">
      <x:c r="A64" t="str">
        <x:v>CREASE16</x:v>
      </x:c>
      <x:c r="B64" t="str">
        <x:v>CREASE</x:v>
      </x:c>
      <x:c r="C64" s="22" t="n">
        <x:f>INDEX(Dynamic_Lines!$F:$F,MATCH(A64,Dynamic_Lines!$A:$A,0))</x:f>
        <x:v>65.85</x:v>
      </x:c>
      <x:c r="D64" s="22" t="n">
        <x:f>INDEX(Dynamic_Lines!$G:$G,MATCH(A64,Dynamic_Lines!$A:$A,0))</x:f>
        <x:v>450.35</x:v>
      </x:c>
      <x:c r="E64" s="22" t="n">
        <x:f>INDEX(Dynamic_Lines!$H:$H,MATCH(A64,Dynamic_Lines!$A:$A,0))</x:f>
        <x:v>65.85</x:v>
      </x:c>
      <x:c r="F64" s="22" t="n">
        <x:f>INDEX(Dynamic_Lines!$I:$I,MATCH(A64,Dynamic_Lines!$A:$A,0))</x:f>
        <x:v>260.35</x:v>
      </x:c>
      <x:c r="G64" t="str">
        <x:v>#00A651</x:v>
      </x:c>
      <x:c r="H64" t="e">
        <x:f>"&lt;line id="&amp;CHAR(34)&amp;A64&amp;CHAR(34)&amp;" x1="&amp;CHAR(34)&amp;TEXT(C64,"0.00")&amp;"mm"&amp;CHAR(34)&amp;" y1="&amp;CHAR(34)&amp;TEXT(D64,"0.00")&amp;"mm"&amp;CHAR(34)&amp;" x2="&amp;CHAR(34)&amp;TEXT(E64,"0.00")&amp;"mm"&amp;CHAR(34)&amp;" y2="&amp;CHAR(34)&amp;TEXT(F64,"0.00")&amp;"mm"&amp;CHAR(34)&amp;" stroke="&amp;CHAR(34)&amp;G64&amp;CHAR(34)&amp;" fill="&amp;CHAR(34)&amp;"none"&amp;CHAR(34)&amp;" /&gt;"</x:f>
      </x:c>
      <x:c r="I64" t="str">
        <x:v>Use dynamic values from Dynamic_Lines; all units are mm</x:v>
      </x:c>
    </x:row>
    <x:row r="65">
      <x:c r="C65" s="22"/>
      <x:c r="D65" s="22"/>
      <x:c r="E65" s="22"/>
      <x:c r="F65" s="22"/>
    </x:row>
    <x:row r="66">
      <x:c r="C66" s="22"/>
      <x:c r="D66" s="22"/>
      <x:c r="E66" s="22"/>
      <x:c r="F66" s="22"/>
    </x:row>
    <x:row r="67">
      <x:c r="C67" s="22"/>
      <x:c r="D67" s="22"/>
      <x:c r="E67" s="22"/>
      <x:c r="F67" s="22"/>
    </x:row>
    <x:row r="68">
      <x:c r="C68" s="22"/>
      <x:c r="D68" s="22"/>
      <x:c r="E68" s="22"/>
      <x:c r="F68" s="22"/>
    </x:row>
    <x:row r="69">
      <x:c r="C69" s="22"/>
      <x:c r="D69" s="22"/>
      <x:c r="E69" s="22"/>
      <x:c r="F69" s="22"/>
    </x:row>
    <x:row r="70">
      <x:c r="C70" s="22"/>
      <x:c r="D70" s="22"/>
      <x:c r="E70" s="22"/>
      <x:c r="F70" s="22"/>
    </x:row>
    <x:row r="71">
      <x:c r="C71" s="22"/>
      <x:c r="D71" s="22"/>
      <x:c r="E71" s="22"/>
      <x:c r="F71" s="22"/>
    </x:row>
    <x:row r="72">
      <x:c r="C72" s="22"/>
      <x:c r="D72" s="22"/>
      <x:c r="E72" s="22"/>
      <x:c r="F72" s="22"/>
    </x:row>
    <x:row r="73">
      <x:c r="C73" s="22"/>
      <x:c r="D73" s="22"/>
      <x:c r="E73" s="22"/>
      <x:c r="F73" s="22"/>
    </x:row>
    <x:row r="74">
      <x:c r="C74" s="22"/>
      <x:c r="D74" s="22"/>
      <x:c r="E74" s="22"/>
      <x:c r="F74" s="22"/>
    </x:row>
    <x:row r="75">
      <x:c r="C75" s="22"/>
      <x:c r="D75" s="22"/>
      <x:c r="E75" s="22"/>
      <x:c r="F75" s="22"/>
    </x:row>
    <x:row r="76">
      <x:c r="C76" s="22"/>
      <x:c r="D76" s="22"/>
      <x:c r="E76" s="22"/>
      <x:c r="F76" s="22"/>
    </x:row>
    <x:row r="77">
      <x:c r="C77" s="22"/>
      <x:c r="D77" s="22"/>
      <x:c r="E77" s="22"/>
      <x:c r="F77" s="22"/>
    </x:row>
    <x:row r="78">
      <x:c r="C78" s="22"/>
      <x:c r="D78" s="22"/>
      <x:c r="E78" s="22"/>
      <x:c r="F78" s="22"/>
    </x:row>
    <x:row r="79">
      <x:c r="C79" s="22"/>
      <x:c r="D79" s="22"/>
      <x:c r="E79" s="22"/>
      <x:c r="F79" s="22"/>
    </x:row>
    <x:row r="80">
      <x:c r="C80" s="22"/>
      <x:c r="D80" s="22"/>
      <x:c r="E80" s="22"/>
      <x:c r="F80" s="22"/>
    </x:row>
    <x:row r="81">
      <x:c r="C81" s="22"/>
      <x:c r="D81" s="22"/>
      <x:c r="E81" s="22"/>
      <x:c r="F81" s="22"/>
    </x:row>
    <x:row r="82">
      <x:c r="C82" s="22"/>
      <x:c r="D82" s="22"/>
      <x:c r="E82" s="22"/>
      <x:c r="F82" s="22"/>
    </x:row>
    <x:row r="83">
      <x:c r="C83" s="22"/>
      <x:c r="D83" s="22"/>
      <x:c r="E83" s="22"/>
      <x:c r="F83" s="22"/>
    </x:row>
    <x:row r="84">
      <x:c r="C84" s="22"/>
      <x:c r="D84" s="22"/>
      <x:c r="E84" s="22"/>
      <x:c r="F84" s="22"/>
    </x:row>
    <x:row r="85">
      <x:c r="C85" s="22"/>
      <x:c r="D85" s="22"/>
      <x:c r="E85" s="22"/>
      <x:c r="F85" s="22"/>
    </x:row>
    <x:row r="86">
      <x:c r="C86" s="22"/>
      <x:c r="D86" s="22"/>
      <x:c r="E86" s="22"/>
      <x:c r="F86" s="22"/>
    </x:row>
    <x:row r="87">
      <x:c r="C87" s="22"/>
      <x:c r="D87" s="22"/>
      <x:c r="E87" s="22"/>
      <x:c r="F87" s="22"/>
    </x:row>
    <x:row r="88">
      <x:c r="C88" s="22"/>
      <x:c r="D88" s="22"/>
      <x:c r="E88" s="22"/>
      <x:c r="F88" s="22"/>
    </x:row>
    <x:row r="89">
      <x:c r="C89" s="22"/>
      <x:c r="D89" s="22"/>
      <x:c r="E89" s="22"/>
      <x:c r="F89" s="22"/>
    </x:row>
    <x:row r="90">
      <x:c r="C90" s="22"/>
      <x:c r="D90" s="22"/>
      <x:c r="E90" s="22"/>
      <x:c r="F90" s="22"/>
    </x:row>
    <x:row r="91">
      <x:c r="C91" s="22"/>
      <x:c r="D91" s="22"/>
      <x:c r="E91" s="22"/>
      <x:c r="F91" s="22"/>
    </x:row>
    <x:row r="92">
      <x:c r="C92" s="22"/>
      <x:c r="D92" s="22"/>
      <x:c r="E92" s="22"/>
      <x:c r="F92" s="22"/>
    </x:row>
    <x:row r="93">
      <x:c r="C93" s="22"/>
      <x:c r="D93" s="22"/>
      <x:c r="E93" s="22"/>
      <x:c r="F93" s="22"/>
    </x:row>
    <x:row r="94">
      <x:c r="C94" s="22"/>
      <x:c r="D94" s="22"/>
      <x:c r="E94" s="22"/>
      <x:c r="F94" s="22"/>
    </x:row>
    <x:row r="95">
      <x:c r="C95" s="22"/>
      <x:c r="D95" s="22"/>
      <x:c r="E95" s="22"/>
      <x:c r="F95" s="22"/>
    </x:row>
    <x:row r="96">
      <x:c r="C96" s="22"/>
      <x:c r="D96" s="22"/>
      <x:c r="E96" s="22"/>
      <x:c r="F96" s="22"/>
    </x:row>
    <x:row r="97">
      <x:c r="C97" s="22"/>
      <x:c r="D97" s="22"/>
      <x:c r="E97" s="22"/>
      <x:c r="F97" s="22"/>
    </x:row>
    <x:row r="98">
      <x:c r="C98" s="22"/>
      <x:c r="D98" s="22"/>
      <x:c r="E98" s="22"/>
      <x:c r="F98" s="22"/>
    </x:row>
    <x:row r="99">
      <x:c r="C99" s="22"/>
      <x:c r="D99" s="22"/>
      <x:c r="E99" s="22"/>
      <x:c r="F99" s="22"/>
    </x:row>
    <x:row r="100">
      <x:c r="C100" s="22"/>
      <x:c r="D100" s="22"/>
      <x:c r="E100" s="22"/>
      <x:c r="F100" s="22"/>
    </x:row>
  </x:sheetData>
  <x:pageMargins left="0.7" right="0.7" top="0.75" bottom="0.75" header="0.3" footer="0.3"/>
  <x:tableParts count="1">
    <x:tablePart xmlns:r="http://schemas.openxmlformats.org/officeDocument/2006/relationships" r:id="R3f52736ca6644c8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.5" hidden="0" customWidth="1"/>
    <x:col min="2" max="2" width="98.87999725341797" hidden="0" customWidth="1"/>
  </x:cols>
  <x:sheetData>
    <x:row r="1">
      <x:c r="A1" s="4" t="str">
        <x:v>Topic</x:v>
      </x:c>
      <x:c r="B1" s="4" t="str">
        <x:v>Required System Behavior</x:v>
      </x:c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>
      <x:c r="A2" s="34" t="str">
        <x:v>Core principle</x:v>
      </x:c>
      <x:c r="B2" s="34" t="str">
        <x:v>Use Inputs L/W/H to regenerate every Dynamic_Point. Lines must only connect Dynamic_Point IDs from Dynamic_Lines.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34" t="str">
        <x:v>No independent endpoints</x:v>
      </x:c>
      <x:c r="B3" s="34" t="str">
        <x:v>Never calculate line endpoint coordinates separately if they share a point. This workbook intentionally shares points to prevent gaps.</x:v>
      </x:c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4">
      <x:c r="A4" s="34" t="str">
        <x:v>L update</x:v>
      </x:c>
      <x:c r="B4" s="34" t="str">
        <x:v>Change Inputs!B4. X_Right_Main changes. Right-side anchors move; L lines stretch/contract.</x:v>
      </x:c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>
      <x:c r="A5" s="34" t="str">
        <x:v>W update</x:v>
      </x:c>
      <x:c r="B5" s="34" t="str">
        <x:v>Change Inputs!B5. Y_Cover_Bottom/Y_Base_Bottom change. W verticals stretch/contract.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</x:row>
    <x:row r="6">
      <x:c r="A6" s="34" t="str">
        <x:v>H update</x:v>
      </x:c>
      <x:c r="B6" s="34" t="str">
        <x:v>Change Inputs!B6. Y_Top_Depth_Bottom/Y_Bottom change. H verticals stretch/contract. Slants keep angle through shared anchors.</x:v>
      </x:c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 t="str">
        <x:v>Build from Excel</x:v>
      </x:c>
      <x:c r="B7" s="34" t="str">
        <x:v>The new system should read Inputs, Dynamic_Points, Dynamic_Lines, Angle_Rules, Mirror_Rules, Connectivity_Checks.</x:v>
      </x:c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 t="str">
        <x:v>SVG export</x:v>
      </x:c>
      <x:c r="B8" s="34" t="str">
        <x:v>Use SVG_Line_Export or Dynamic_Lines to create vector lines. CUT red, CREASE green.</x:v>
      </x:c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 t="str">
        <x:v>Precision</x:v>
      </x:c>
      <x:c r="B9" s="34" t="str">
        <x:v>Use mm coordinates and keep at least 2 decimals.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 t="str">
        <x:v>Validation</x:v>
      </x:c>
      <x:c r="B10" s="34" t="str">
        <x:v>Change L/W/H test cases and verify all lines remain connected and angle groups remain stable.</x:v>
      </x:c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 t="str">
        <x:v>V4 Update - H Lines</x:v>
      </x:c>
      <x:c r="B12" s="34" t="str">
        <x:v>H2, H3, J2, J3 were added as H mirror/counterpart lines. They must resize with Delta_H.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34" t="str">
        <x:v>V4 Update - C/D/E/F AREA</x:v>
      </x:c>
      <x:c r="B13" s="34" t="str">
        <x:v>C AREA width must always equal L AREA height; implemented as width = H - 3 based on reference 47mm at H=50.</x:v>
      </x:c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 t="str">
        <x:v>C AREA Control Lines</x:v>
      </x:c>
      <x:c r="B14" s="34" t="str">
        <x:v>C2 and C4 resize. C2 preserves 12°.</x:v>
      </x:c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 t="str">
        <x:v>Mirror Areas</x:v>
      </x:c>
      <x:c r="B15" s="34" t="str">
        <x:v>D, E, F areas apply the same rule using D2/D4, E4/E2, F2/F4 with correct mirrored directions.</x:v>
      </x:c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 t="str">
        <x:v>A6</x:v>
      </x:c>
      <x:c r="B16" s="34" t="str">
        <x:v>A6 was fixed successfully; do not alter A6 in this update.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 t="str">
        <x:v>System Priority</x:v>
      </x:c>
      <x:c r="B17" s="34" t="str">
        <x:v>Use Excel dynamic rules over SVG guessing whenever they conflict.</x:v>
      </x:c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 t="str">
        <x:v>Connectivity</x:v>
      </x:c>
      <x:c r="B18" s="34" t="str">
        <x:v>Every changed point must remain connected to its original neighboring lines.</x:v>
      </x:c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 t="str">
        <x:v>No Global Scale</x:v>
      </x:c>
      <x:c r="B19" s="34" t="str">
        <x:v>Do not solve by scaling the whole SVG.</x:v>
      </x:c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 t="str">
        <x:v>Export</x:v>
      </x:c>
      <x:c r="B20" s="34" t="str">
        <x:v>SVG/PDF must use computed dynamic geometry.</x:v>
      </x:c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69.37999725341797" hidden="0" customWidth="1"/>
    <x:col min="3" max="3" width="13.25" hidden="0" customWidth="1"/>
    <x:col min="4" max="4" width="19" hidden="0" customWidth="1"/>
    <x:col min="5" max="5" width="12.5" hidden="0" customWidth="1"/>
    <x:col min="6" max="6" width="12.25" hidden="0" customWidth="1"/>
    <x:col min="7" max="7" width="9.130000114440918" hidden="0" customWidth="1"/>
    <x:col min="8" max="8" width="22.25" hidden="0" customWidth="1"/>
    <x:col min="9" max="9" width="23.5" hidden="0" customWidth="1"/>
    <x:col min="10" max="10" width="43.130001068115234" hidden="0" customWidth="1"/>
  </x:cols>
  <x:sheetData>
    <x:row r="1">
      <x:c r="A1" s="33" t="str">
        <x:v>Area</x:v>
      </x:c>
      <x:c r="B1" s="33" t="str">
        <x:v>Rule</x:v>
      </x:c>
      <x:c r="C1" s="33" t="str">
        <x:v>Reference Width</x:v>
      </x:c>
      <x:c r="D1" s="33" t="str">
        <x:v>Dynamic Width Formula</x:v>
      </x:c>
      <x:c r="E1" s="33" t="str">
        <x:v>Straight edge(s)</x:v>
      </x:c>
      <x:c r="F1" s="33" t="str">
        <x:v>Slanted edge(s)</x:v>
      </x:c>
      <x:c r="G1" s="33" t="str">
        <x:v>Slant Angle</x:v>
      </x:c>
      <x:c r="H1" s="33" t="str">
        <x:v>Slant Vertical Offset Formula</x:v>
      </x:c>
      <x:c r="I1" s="33" t="str">
        <x:v>Mirror Direction</x:v>
      </x:c>
      <x:c r="J1" s="33" t="str">
        <x:v>Implementation Note</x:v>
      </x:c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>
      <x:c r="A2" s="34" t="str">
        <x:v>C AREA</x:v>
      </x:c>
      <x:c r="B2" s="34" t="str">
        <x:v>Width = L AREA Height</x:v>
      </x:c>
      <x:c r="C2" s="34" t="n">
        <x:v>47</x:v>
      </x:c>
      <x:c r="D2" s="34" t="n">
        <x:f>Inputs!$B$6-3</x:f>
        <x:v>47</x:v>
      </x:c>
      <x:c r="E2" s="34" t="str">
        <x:v>C4</x:v>
      </x:c>
      <x:c r="F2" s="34" t="str">
        <x:v>C2</x:v>
      </x:c>
      <x:c r="G2" s="34" t="str">
        <x:v>12°</x:v>
      </x:c>
      <x:c r="H2" s="34" t="n">
        <x:f>(Inputs!$B$6-3)*TAN(RADIANS(12))</x:f>
        <x:v>9.990158398491038</x:v>
      </x:c>
      <x:c r="I2" s="34" t="str">
        <x:v>Reference</x:v>
      </x:c>
      <x:c r="J2" s="34" t="str">
        <x:v>Resize C2/C4; C2 keeps 12°; endpoints remain connected.</x:v>
      </x:c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A3" s="34" t="str">
        <x:v>D AREA</x:v>
      </x:c>
      <x:c r="B3" s="34" t="str">
        <x:v>Same as C AREA</x:v>
      </x:c>
      <x:c r="C3" s="34" t="n">
        <x:v>47</x:v>
      </x:c>
      <x:c r="D3" s="34" t="n">
        <x:f>Inputs!$B$6-3</x:f>
        <x:v>47</x:v>
      </x:c>
      <x:c r="E3" s="34" t="str">
        <x:v>D4</x:v>
      </x:c>
      <x:c r="F3" s="34" t="str">
        <x:v>D2</x:v>
      </x:c>
      <x:c r="G3" s="34" t="str">
        <x:v>12°</x:v>
      </x:c>
      <x:c r="H3" s="34" t="n">
        <x:f>(Inputs!$B$6-3)*TAN(RADIANS(12))</x:f>
        <x:v>9.990158398491038</x:v>
      </x:c>
      <x:c r="I3" s="34" t="str">
        <x:v>Mirror of C AREA in D direction</x:v>
      </x:c>
      <x:c r="J3" s="34" t="str">
        <x:v>Resize D2/D4 with correct mirrored direction.</x:v>
      </x:c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4">
      <x:c r="A4" s="34" t="str">
        <x:v>E AREA</x:v>
      </x:c>
      <x:c r="B4" s="34" t="str">
        <x:v>Same as C AREA</x:v>
      </x:c>
      <x:c r="C4" s="34" t="n">
        <x:v>47</x:v>
      </x:c>
      <x:c r="D4" s="34" t="n">
        <x:f>Inputs!$B$6-3</x:f>
        <x:v>47</x:v>
      </x:c>
      <x:c r="E4" s="34" t="str">
        <x:v>E2</x:v>
      </x:c>
      <x:c r="F4" s="34" t="str">
        <x:v>E4</x:v>
      </x:c>
      <x:c r="G4" s="34" t="str">
        <x:v>12°</x:v>
      </x:c>
      <x:c r="H4" s="34" t="n">
        <x:f>(Inputs!$B$6-3)*TAN(RADIANS(12))</x:f>
        <x:v>9.990158398491038</x:v>
      </x:c>
      <x:c r="I4" s="34" t="str">
        <x:v>Mirror of C AREA in E direction</x:v>
      </x:c>
      <x:c r="J4" s="34" t="str">
        <x:v>Resize E2/E4 with correct mirrored direction.</x:v>
      </x:c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>
      <x:c r="A5" s="34" t="str">
        <x:v>F AREA</x:v>
      </x:c>
      <x:c r="B5" s="34" t="str">
        <x:v>Same as C AREA</x:v>
      </x:c>
      <x:c r="C5" s="34" t="n">
        <x:v>47</x:v>
      </x:c>
      <x:c r="D5" s="34" t="n">
        <x:f>Inputs!$B$6-3</x:f>
        <x:v>47</x:v>
      </x:c>
      <x:c r="E5" s="34" t="str">
        <x:v>F4</x:v>
      </x:c>
      <x:c r="F5" s="34" t="str">
        <x:v>F2</x:v>
      </x:c>
      <x:c r="G5" s="34" t="str">
        <x:v>12°</x:v>
      </x:c>
      <x:c r="H5" s="34" t="n">
        <x:f>(Inputs!$B$6-3)*TAN(RADIANS(12))</x:f>
        <x:v>9.990158398491038</x:v>
      </x:c>
      <x:c r="I5" s="34" t="str">
        <x:v>Mirror of C AREA in F direction</x:v>
      </x:c>
      <x:c r="J5" s="34" t="str">
        <x:v>Resize F2/F4 with correct mirrored direction.</x:v>
      </x:c>
      <x:c r="K5" s="34"/>
      <x:c r="L5" s="34"/>
      <x:c r="M5" s="34"/>
      <x:c r="N5" s="34"/>
      <x:c r="O5" s="34"/>
      <x:c r="P5" s="34"/>
      <x:c r="Q5" s="34"/>
      <x:c r="R5" s="34"/>
      <x:c r="S5" s="34"/>
      <x:c r="T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 t="str">
        <x:v>H-linked added lines</x:v>
      </x:c>
      <x:c r="B8" s="34" t="str">
        <x:v>H2, H3, J2, J3</x:v>
      </x:c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 t="str">
        <x:v>Rule</x:v>
      </x:c>
      <x:c r="B9" s="34" t="str">
        <x:v>These are mirror/counterpart H lines and must resize with Delta_H, not remain fixed.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 t="str">
        <x:v>Reference length</x:v>
      </x:c>
      <x:c r="B10" s="34" t="str">
        <x:v>49mm</x:v>
      </x:c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 t="str">
        <x:v>Dynamic length formula</x:v>
      </x:c>
      <x:c r="B11" s="34" t="n">
        <x:f>49+Inputs!$B$11</x:f>
        <x:v>49</x:v>
      </x:c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 t="str">
        <x:v>Equivalent formula</x:v>
      </x:c>
      <x:c r="B12" s="34" t="n">
        <x:f>Inputs!$B$6-1</x:f>
        <x:v>49</x:v>
      </x:c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34" t="str">
        <x:v>Connection requirement</x:v>
      </x:c>
      <x:c r="B13" s="34" t="str">
        <x:v>Their endpoints must remain connected to the same neighboring lines as in MAP/TEMPLATE.</x:v>
      </x:c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 t="str">
        <x:v>Do not change</x:v>
      </x:c>
      <x:c r="B14" s="34" t="str">
        <x:v>A6 correction is already successful; do not modify A6 again.</x:v>
      </x:c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</x:row>
  </x:sheetData>
  <x:pageMargins left="0.7" right="0.7" top="0.75" bottom="0.75" header="0.3" footer="0.3"/>
</x:worksheet>
</file>